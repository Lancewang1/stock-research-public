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85251\Documents\Lance\AI\Model Training\Lance-Private\AI\Project FreeRide\skills\ibd-equity-model\examples\luckin_real_case\"/>
    </mc:Choice>
  </mc:AlternateContent>
  <xr:revisionPtr revIDLastSave="0" documentId="13_ncr:1_{E8583864-280A-47DA-AED1-352B06935724}" xr6:coauthVersionLast="47" xr6:coauthVersionMax="47" xr10:uidLastSave="{00000000-0000-0000-0000-000000000000}"/>
  <bookViews>
    <workbookView xWindow="6765" yWindow="3240" windowWidth="38700" windowHeight="15345" xr2:uid="{00000000-000D-0000-FFFF-FFFF00000000}"/>
  </bookViews>
  <sheets>
    <sheet name="Cover" sheetId="1" r:id="rId1"/>
    <sheet name="Assumptions" sheetId="2" r:id="rId2"/>
    <sheet name="IS" sheetId="3" r:id="rId3"/>
    <sheet name="BS" sheetId="4" r:id="rId4"/>
    <sheet name="CF" sheetId="5" r:id="rId5"/>
    <sheet name="DCF" sheetId="6" r:id="rId6"/>
    <sheet name="Sensitivity" sheetId="7" r:id="rId7"/>
  </sheets>
  <definedNames>
    <definedName name="_xlnm._FilterDatabase" localSheetId="1" hidden="1">Assumptions!$A$19:$J$180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7" l="1"/>
  <c r="A27" i="7"/>
  <c r="A26" i="7"/>
  <c r="A25" i="7"/>
  <c r="A24" i="7"/>
  <c r="F23" i="7"/>
  <c r="E23" i="7"/>
  <c r="D23" i="7"/>
  <c r="C23" i="7"/>
  <c r="B23" i="7"/>
  <c r="A19" i="7"/>
  <c r="A18" i="7"/>
  <c r="A17" i="7"/>
  <c r="A16" i="7"/>
  <c r="A15" i="7"/>
  <c r="F14" i="7"/>
  <c r="E14" i="7"/>
  <c r="D14" i="7"/>
  <c r="C14" i="7"/>
  <c r="B14" i="7"/>
  <c r="A10" i="7"/>
  <c r="A9" i="7"/>
  <c r="A8" i="7"/>
  <c r="A7" i="7"/>
  <c r="A6" i="7"/>
  <c r="F5" i="7"/>
  <c r="E5" i="7"/>
  <c r="D5" i="7"/>
  <c r="C5" i="7"/>
  <c r="B5" i="7"/>
  <c r="B4" i="6"/>
  <c r="B5" i="6" s="1"/>
  <c r="E25" i="5"/>
  <c r="D25" i="5"/>
  <c r="C25" i="5"/>
  <c r="B25" i="5"/>
  <c r="F22" i="5"/>
  <c r="E21" i="5"/>
  <c r="E24" i="5" s="1"/>
  <c r="D21" i="5"/>
  <c r="D24" i="5" s="1"/>
  <c r="C21" i="5"/>
  <c r="C24" i="5" s="1"/>
  <c r="B21" i="5"/>
  <c r="B24" i="5" s="1"/>
  <c r="E17" i="5"/>
  <c r="D17" i="5"/>
  <c r="C17" i="5"/>
  <c r="B17" i="5"/>
  <c r="E13" i="5"/>
  <c r="D13" i="5"/>
  <c r="C13" i="5"/>
  <c r="B13" i="5"/>
  <c r="E6" i="5"/>
  <c r="D6" i="5"/>
  <c r="C6" i="5"/>
  <c r="B6" i="5"/>
  <c r="E50" i="4"/>
  <c r="D50" i="4"/>
  <c r="C50" i="4"/>
  <c r="B50" i="4"/>
  <c r="E45" i="4"/>
  <c r="D45" i="4"/>
  <c r="C45" i="4"/>
  <c r="F42" i="4"/>
  <c r="G42" i="4" s="1"/>
  <c r="H42" i="4" s="1"/>
  <c r="I42" i="4" s="1"/>
  <c r="J42" i="4" s="1"/>
  <c r="E38" i="4"/>
  <c r="D38" i="4"/>
  <c r="C38" i="4"/>
  <c r="B38" i="4"/>
  <c r="B47" i="4" s="1"/>
  <c r="E23" i="4"/>
  <c r="D23" i="4"/>
  <c r="C23" i="4"/>
  <c r="B23" i="4"/>
  <c r="B48" i="4" s="1"/>
  <c r="E6" i="4"/>
  <c r="D6" i="4"/>
  <c r="C6" i="4"/>
  <c r="E42" i="3"/>
  <c r="D42" i="3"/>
  <c r="C42" i="3"/>
  <c r="B42" i="3"/>
  <c r="E21" i="3"/>
  <c r="E12" i="4" s="1"/>
  <c r="D21" i="3"/>
  <c r="D30" i="3" s="1"/>
  <c r="C21" i="3"/>
  <c r="C15" i="4" s="1"/>
  <c r="B21" i="3"/>
  <c r="B32" i="3" s="1"/>
  <c r="E19" i="3"/>
  <c r="D19" i="3"/>
  <c r="C19" i="3"/>
  <c r="E15" i="3"/>
  <c r="E16" i="3" s="1"/>
  <c r="F12" i="2" s="1"/>
  <c r="D15" i="3"/>
  <c r="D16" i="3" s="1"/>
  <c r="C15" i="3"/>
  <c r="C16" i="3" s="1"/>
  <c r="B15" i="3"/>
  <c r="B16" i="3" s="1"/>
  <c r="C12" i="2" s="1"/>
  <c r="E14" i="3"/>
  <c r="D14" i="3"/>
  <c r="C14" i="3"/>
  <c r="E11" i="3"/>
  <c r="D11" i="3"/>
  <c r="C11" i="3"/>
  <c r="E7" i="3"/>
  <c r="E8" i="3" s="1"/>
  <c r="F11" i="2" s="1"/>
  <c r="D7" i="3"/>
  <c r="D8" i="3" s="1"/>
  <c r="E11" i="2" s="1"/>
  <c r="C7" i="3"/>
  <c r="C8" i="3" s="1"/>
  <c r="D11" i="2" s="1"/>
  <c r="B7" i="3"/>
  <c r="B8" i="3" s="1"/>
  <c r="C11" i="2" s="1"/>
  <c r="E6" i="3"/>
  <c r="D6" i="3"/>
  <c r="C6" i="3"/>
  <c r="G147" i="2"/>
  <c r="B16" i="6" s="1"/>
  <c r="B64" i="6" s="1"/>
  <c r="G146" i="2"/>
  <c r="B15" i="6" s="1"/>
  <c r="B63" i="6" s="1"/>
  <c r="G145" i="2"/>
  <c r="J33" i="4" s="1"/>
  <c r="G144" i="2"/>
  <c r="B13" i="6" s="1"/>
  <c r="B68" i="6" s="1"/>
  <c r="G143" i="2"/>
  <c r="B9" i="6" s="1"/>
  <c r="G142" i="2"/>
  <c r="B11" i="6" s="1"/>
  <c r="B66" i="6" s="1"/>
  <c r="G141" i="2"/>
  <c r="B8" i="6" s="1"/>
  <c r="B70" i="6" s="1"/>
  <c r="G140" i="2"/>
  <c r="B27" i="6" s="1"/>
  <c r="G139" i="2"/>
  <c r="B25" i="6" s="1"/>
  <c r="G138" i="2"/>
  <c r="B24" i="6" s="1"/>
  <c r="G137" i="2"/>
  <c r="B23" i="6" s="1"/>
  <c r="G136" i="2"/>
  <c r="B22" i="6" s="1"/>
  <c r="G135" i="2"/>
  <c r="F53" i="6" s="1"/>
  <c r="G134" i="2"/>
  <c r="F47" i="6" s="1"/>
  <c r="G133" i="2"/>
  <c r="E47" i="6" s="1"/>
  <c r="G132" i="2"/>
  <c r="D47" i="6" s="1"/>
  <c r="G131" i="2"/>
  <c r="C47" i="6" s="1"/>
  <c r="G130" i="2"/>
  <c r="B47" i="6" s="1"/>
  <c r="G129" i="2"/>
  <c r="G128" i="2"/>
  <c r="G127" i="2"/>
  <c r="G126" i="2"/>
  <c r="G125" i="2"/>
  <c r="F20" i="5" s="1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F13" i="3" s="1"/>
  <c r="F14" i="3" s="1"/>
  <c r="G24" i="2"/>
  <c r="G23" i="2"/>
  <c r="G22" i="2"/>
  <c r="G21" i="2"/>
  <c r="G20" i="2"/>
  <c r="F5" i="3" s="1"/>
  <c r="F10" i="2"/>
  <c r="E10" i="2"/>
  <c r="D10" i="2"/>
  <c r="C10" i="2"/>
  <c r="D4" i="2"/>
  <c r="B2" i="3" s="1"/>
  <c r="C21" i="4" l="1"/>
  <c r="C9" i="4"/>
  <c r="C24" i="4"/>
  <c r="D24" i="4"/>
  <c r="B30" i="3"/>
  <c r="C30" i="3"/>
  <c r="C36" i="3"/>
  <c r="B9" i="5"/>
  <c r="C13" i="2" s="1"/>
  <c r="C31" i="4"/>
  <c r="C32" i="3"/>
  <c r="B38" i="3"/>
  <c r="C38" i="3"/>
  <c r="E24" i="4"/>
  <c r="F33" i="4"/>
  <c r="C12" i="4"/>
  <c r="C8" i="2"/>
  <c r="B12" i="4"/>
  <c r="D8" i="2"/>
  <c r="B18" i="4"/>
  <c r="B28" i="3"/>
  <c r="C18" i="4"/>
  <c r="C28" i="3"/>
  <c r="B21" i="4"/>
  <c r="B14" i="6"/>
  <c r="B17" i="6" s="1"/>
  <c r="F6" i="3"/>
  <c r="F7" i="3"/>
  <c r="G5" i="3"/>
  <c r="G6" i="3" s="1"/>
  <c r="B34" i="3"/>
  <c r="C34" i="3"/>
  <c r="B36" i="3"/>
  <c r="B43" i="3"/>
  <c r="C43" i="3"/>
  <c r="B31" i="4"/>
  <c r="D9" i="3"/>
  <c r="C36" i="4"/>
  <c r="C9" i="5"/>
  <c r="D13" i="2" s="1"/>
  <c r="D45" i="3"/>
  <c r="D59" i="3" s="1"/>
  <c r="E12" i="2"/>
  <c r="D17" i="3"/>
  <c r="D46" i="3"/>
  <c r="E9" i="2" s="1"/>
  <c r="D43" i="3"/>
  <c r="E22" i="3"/>
  <c r="E28" i="4"/>
  <c r="E32" i="3"/>
  <c r="E9" i="3"/>
  <c r="B45" i="3"/>
  <c r="C45" i="3"/>
  <c r="C59" i="3" s="1"/>
  <c r="D12" i="4"/>
  <c r="G7" i="3"/>
  <c r="D38" i="3"/>
  <c r="D28" i="4"/>
  <c r="D22" i="3"/>
  <c r="D28" i="3"/>
  <c r="D40" i="3"/>
  <c r="E8" i="2"/>
  <c r="D9" i="4"/>
  <c r="D58" i="3"/>
  <c r="D18" i="4"/>
  <c r="D31" i="4"/>
  <c r="D9" i="5"/>
  <c r="E13" i="2" s="1"/>
  <c r="D34" i="3"/>
  <c r="D36" i="4"/>
  <c r="D36" i="3"/>
  <c r="D21" i="4"/>
  <c r="E40" i="3"/>
  <c r="E58" i="3"/>
  <c r="E9" i="5"/>
  <c r="F13" i="2" s="1"/>
  <c r="E34" i="3"/>
  <c r="F8" i="2"/>
  <c r="E31" i="4"/>
  <c r="E28" i="3"/>
  <c r="E36" i="4"/>
  <c r="E9" i="4"/>
  <c r="E18" i="4"/>
  <c r="E36" i="3"/>
  <c r="E21" i="4"/>
  <c r="E30" i="3"/>
  <c r="E47" i="4"/>
  <c r="E48" i="4" s="1"/>
  <c r="E39" i="4"/>
  <c r="B26" i="6"/>
  <c r="E17" i="3"/>
  <c r="D15" i="4"/>
  <c r="G33" i="4"/>
  <c r="B62" i="6"/>
  <c r="E43" i="3"/>
  <c r="D12" i="2"/>
  <c r="C17" i="3"/>
  <c r="F16" i="3"/>
  <c r="D32" i="3"/>
  <c r="E38" i="3"/>
  <c r="E45" i="3"/>
  <c r="E59" i="3" s="1"/>
  <c r="E15" i="4"/>
  <c r="B28" i="6"/>
  <c r="B29" i="6" s="1"/>
  <c r="C9" i="3"/>
  <c r="I33" i="4"/>
  <c r="F8" i="3"/>
  <c r="H33" i="4"/>
  <c r="B10" i="6"/>
  <c r="B12" i="6" s="1"/>
  <c r="C47" i="4"/>
  <c r="C48" i="4" s="1"/>
  <c r="C39" i="4"/>
  <c r="D47" i="4"/>
  <c r="D48" i="4" s="1"/>
  <c r="D39" i="4"/>
  <c r="B19" i="1"/>
  <c r="G13" i="3"/>
  <c r="G15" i="3" s="1"/>
  <c r="F15" i="3"/>
  <c r="B9" i="4"/>
  <c r="B36" i="4"/>
  <c r="B40" i="3"/>
  <c r="C58" i="3"/>
  <c r="C40" i="3"/>
  <c r="B28" i="4"/>
  <c r="B58" i="3"/>
  <c r="C22" i="3"/>
  <c r="B15" i="4"/>
  <c r="C28" i="4"/>
  <c r="D49" i="3" l="1"/>
  <c r="D53" i="3" s="1"/>
  <c r="H5" i="3"/>
  <c r="H7" i="3" s="1"/>
  <c r="B30" i="6"/>
  <c r="B18" i="6"/>
  <c r="E46" i="3"/>
  <c r="E49" i="3"/>
  <c r="H13" i="3"/>
  <c r="H15" i="3" s="1"/>
  <c r="G14" i="3"/>
  <c r="G16" i="3"/>
  <c r="F17" i="3"/>
  <c r="C46" i="3"/>
  <c r="D9" i="2" s="1"/>
  <c r="C49" i="3"/>
  <c r="B49" i="3"/>
  <c r="B46" i="3"/>
  <c r="C9" i="2" s="1"/>
  <c r="F9" i="3"/>
  <c r="G8" i="3"/>
  <c r="G10" i="3" s="1"/>
  <c r="F10" i="3"/>
  <c r="F18" i="3"/>
  <c r="F19" i="3" s="1"/>
  <c r="B59" i="3"/>
  <c r="D51" i="3" l="1"/>
  <c r="H6" i="3"/>
  <c r="I5" i="3"/>
  <c r="I6" i="3" s="1"/>
  <c r="G17" i="3"/>
  <c r="H16" i="3"/>
  <c r="H14" i="3"/>
  <c r="I13" i="3"/>
  <c r="F9" i="2"/>
  <c r="B20" i="1"/>
  <c r="G18" i="3"/>
  <c r="G19" i="3" s="1"/>
  <c r="F21" i="3"/>
  <c r="F11" i="3"/>
  <c r="H8" i="3"/>
  <c r="G9" i="3"/>
  <c r="H18" i="3"/>
  <c r="H19" i="3" s="1"/>
  <c r="E53" i="3"/>
  <c r="E51" i="3"/>
  <c r="G11" i="3"/>
  <c r="D54" i="3"/>
  <c r="D5" i="5"/>
  <c r="D7" i="5" s="1"/>
  <c r="B31" i="6"/>
  <c r="B32" i="6"/>
  <c r="B51" i="3"/>
  <c r="B53" i="3"/>
  <c r="C53" i="3"/>
  <c r="C51" i="3"/>
  <c r="I7" i="3" l="1"/>
  <c r="J5" i="3"/>
  <c r="J6" i="3" s="1"/>
  <c r="B33" i="6"/>
  <c r="F48" i="6" s="1"/>
  <c r="E55" i="3"/>
  <c r="E5" i="5"/>
  <c r="E7" i="5" s="1"/>
  <c r="E54" i="3"/>
  <c r="I8" i="3"/>
  <c r="H9" i="3"/>
  <c r="H10" i="3"/>
  <c r="F11" i="4"/>
  <c r="F31" i="3"/>
  <c r="F27" i="4"/>
  <c r="F37" i="3"/>
  <c r="F38" i="3" s="1"/>
  <c r="F39" i="3"/>
  <c r="F40" i="3" s="1"/>
  <c r="F33" i="3"/>
  <c r="F34" i="3" s="1"/>
  <c r="F35" i="4"/>
  <c r="F36" i="4" s="1"/>
  <c r="F17" i="4"/>
  <c r="F18" i="4" s="1"/>
  <c r="F8" i="4"/>
  <c r="F12" i="5"/>
  <c r="F35" i="3"/>
  <c r="F36" i="3" s="1"/>
  <c r="F48" i="3"/>
  <c r="F29" i="3"/>
  <c r="F30" i="3" s="1"/>
  <c r="F30" i="4"/>
  <c r="F31" i="4" s="1"/>
  <c r="F22" i="3"/>
  <c r="F20" i="4"/>
  <c r="F21" i="4" s="1"/>
  <c r="F27" i="3"/>
  <c r="B39" i="6"/>
  <c r="F58" i="3"/>
  <c r="C54" i="3"/>
  <c r="C55" i="3"/>
  <c r="C5" i="5"/>
  <c r="C7" i="5" s="1"/>
  <c r="I14" i="3"/>
  <c r="J13" i="3"/>
  <c r="J14" i="3" s="1"/>
  <c r="H17" i="3"/>
  <c r="I16" i="3"/>
  <c r="B54" i="3"/>
  <c r="B5" i="5"/>
  <c r="B7" i="5" s="1"/>
  <c r="E48" i="6"/>
  <c r="D48" i="6"/>
  <c r="D55" i="3"/>
  <c r="I15" i="3"/>
  <c r="G21" i="3"/>
  <c r="G58" i="3"/>
  <c r="B48" i="6" l="1"/>
  <c r="J7" i="3"/>
  <c r="C48" i="6"/>
  <c r="F14" i="4"/>
  <c r="B44" i="6"/>
  <c r="B45" i="6"/>
  <c r="F12" i="4"/>
  <c r="F7" i="5"/>
  <c r="I18" i="3"/>
  <c r="I19" i="3" s="1"/>
  <c r="F28" i="3"/>
  <c r="F42" i="3"/>
  <c r="F9" i="4"/>
  <c r="F13" i="5"/>
  <c r="F14" i="5" s="1"/>
  <c r="F38" i="4"/>
  <c r="F28" i="4"/>
  <c r="G37" i="3"/>
  <c r="G38" i="3" s="1"/>
  <c r="G27" i="4"/>
  <c r="G31" i="3"/>
  <c r="G30" i="4"/>
  <c r="G31" i="4" s="1"/>
  <c r="G33" i="3"/>
  <c r="G34" i="3" s="1"/>
  <c r="G17" i="4"/>
  <c r="G18" i="4" s="1"/>
  <c r="G12" i="5"/>
  <c r="G35" i="3"/>
  <c r="G36" i="3" s="1"/>
  <c r="G48" i="3"/>
  <c r="G35" i="4"/>
  <c r="G36" i="4" s="1"/>
  <c r="G39" i="3"/>
  <c r="G40" i="3" s="1"/>
  <c r="G29" i="3"/>
  <c r="G30" i="3" s="1"/>
  <c r="G27" i="3"/>
  <c r="G22" i="3"/>
  <c r="G20" i="4"/>
  <c r="G21" i="4" s="1"/>
  <c r="G11" i="4"/>
  <c r="G8" i="4"/>
  <c r="C39" i="6"/>
  <c r="H11" i="3"/>
  <c r="H21" i="3"/>
  <c r="J8" i="3"/>
  <c r="I9" i="3"/>
  <c r="I17" i="3"/>
  <c r="J16" i="3"/>
  <c r="J17" i="3" s="1"/>
  <c r="J15" i="3"/>
  <c r="J18" i="3" s="1"/>
  <c r="F6" i="5"/>
  <c r="B43" i="6"/>
  <c r="F32" i="3"/>
  <c r="I10" i="3"/>
  <c r="G28" i="3" l="1"/>
  <c r="G42" i="3"/>
  <c r="G38" i="4"/>
  <c r="G28" i="4"/>
  <c r="F39" i="4"/>
  <c r="C45" i="6"/>
  <c r="G12" i="4"/>
  <c r="G7" i="5"/>
  <c r="J19" i="3"/>
  <c r="C44" i="6"/>
  <c r="G13" i="5"/>
  <c r="G14" i="5" s="1"/>
  <c r="G9" i="4"/>
  <c r="F43" i="3"/>
  <c r="F45" i="3"/>
  <c r="I21" i="3"/>
  <c r="I11" i="3"/>
  <c r="H37" i="3"/>
  <c r="H38" i="3" s="1"/>
  <c r="H31" i="3"/>
  <c r="H27" i="4"/>
  <c r="H33" i="3"/>
  <c r="H34" i="3" s="1"/>
  <c r="H17" i="4"/>
  <c r="H18" i="4" s="1"/>
  <c r="H35" i="4"/>
  <c r="H36" i="4" s="1"/>
  <c r="H30" i="4"/>
  <c r="H31" i="4" s="1"/>
  <c r="H27" i="3"/>
  <c r="H8" i="4"/>
  <c r="H12" i="5"/>
  <c r="H35" i="3"/>
  <c r="H36" i="3" s="1"/>
  <c r="H48" i="3"/>
  <c r="H39" i="3"/>
  <c r="H40" i="3" s="1"/>
  <c r="H29" i="3"/>
  <c r="H30" i="3" s="1"/>
  <c r="H20" i="4"/>
  <c r="H21" i="4" s="1"/>
  <c r="D39" i="6"/>
  <c r="H11" i="4"/>
  <c r="H22" i="3"/>
  <c r="G14" i="4"/>
  <c r="F15" i="4"/>
  <c r="J9" i="3"/>
  <c r="J10" i="3"/>
  <c r="H58" i="3"/>
  <c r="G6" i="5"/>
  <c r="C43" i="6"/>
  <c r="G32" i="3"/>
  <c r="I37" i="3" l="1"/>
  <c r="I38" i="3" s="1"/>
  <c r="I31" i="3"/>
  <c r="I39" i="3"/>
  <c r="I40" i="3" s="1"/>
  <c r="I27" i="4"/>
  <c r="I17" i="4"/>
  <c r="I18" i="4" s="1"/>
  <c r="I30" i="4"/>
  <c r="I31" i="4" s="1"/>
  <c r="I27" i="3"/>
  <c r="I35" i="4"/>
  <c r="I36" i="4" s="1"/>
  <c r="I8" i="4"/>
  <c r="I11" i="4"/>
  <c r="I48" i="3"/>
  <c r="I29" i="3"/>
  <c r="I30" i="3" s="1"/>
  <c r="E39" i="6"/>
  <c r="I33" i="3"/>
  <c r="I34" i="3" s="1"/>
  <c r="I12" i="5"/>
  <c r="I35" i="3"/>
  <c r="I36" i="3" s="1"/>
  <c r="I22" i="3"/>
  <c r="I20" i="4"/>
  <c r="I21" i="4" s="1"/>
  <c r="H28" i="3"/>
  <c r="H42" i="3"/>
  <c r="J21" i="3"/>
  <c r="J58" i="3" s="1"/>
  <c r="J11" i="3"/>
  <c r="H38" i="4"/>
  <c r="H28" i="4"/>
  <c r="F46" i="3"/>
  <c r="F49" i="3"/>
  <c r="B40" i="6"/>
  <c r="D44" i="6"/>
  <c r="G39" i="4"/>
  <c r="H13" i="5"/>
  <c r="H14" i="5" s="1"/>
  <c r="H9" i="4"/>
  <c r="G43" i="3"/>
  <c r="G45" i="3"/>
  <c r="G59" i="3" s="1"/>
  <c r="D45" i="6"/>
  <c r="H12" i="4"/>
  <c r="H7" i="5"/>
  <c r="F59" i="3"/>
  <c r="H6" i="5"/>
  <c r="D43" i="6"/>
  <c r="H32" i="3"/>
  <c r="H14" i="4"/>
  <c r="G15" i="4"/>
  <c r="I58" i="3"/>
  <c r="I13" i="5" l="1"/>
  <c r="I14" i="5" s="1"/>
  <c r="I9" i="4"/>
  <c r="B41" i="6"/>
  <c r="B42" i="6" s="1"/>
  <c r="B46" i="6" s="1"/>
  <c r="I14" i="4"/>
  <c r="H15" i="4"/>
  <c r="E44" i="6"/>
  <c r="E45" i="6"/>
  <c r="I12" i="4"/>
  <c r="I7" i="5"/>
  <c r="G46" i="3"/>
  <c r="G49" i="3"/>
  <c r="C40" i="6"/>
  <c r="F50" i="3"/>
  <c r="F51" i="3" s="1"/>
  <c r="I28" i="3"/>
  <c r="I42" i="3"/>
  <c r="H43" i="3"/>
  <c r="H45" i="3"/>
  <c r="H59" i="3" s="1"/>
  <c r="I6" i="5"/>
  <c r="E43" i="6"/>
  <c r="I32" i="3"/>
  <c r="H39" i="4"/>
  <c r="I38" i="4"/>
  <c r="I28" i="4"/>
  <c r="J31" i="3"/>
  <c r="J39" i="3"/>
  <c r="J40" i="3" s="1"/>
  <c r="J27" i="4"/>
  <c r="J30" i="4"/>
  <c r="J31" i="4" s="1"/>
  <c r="J27" i="3"/>
  <c r="J35" i="4"/>
  <c r="J36" i="4" s="1"/>
  <c r="J8" i="4"/>
  <c r="B21" i="1"/>
  <c r="J48" i="3"/>
  <c r="J33" i="3"/>
  <c r="J34" i="3" s="1"/>
  <c r="J12" i="5"/>
  <c r="J17" i="4"/>
  <c r="J18" i="4" s="1"/>
  <c r="J29" i="3"/>
  <c r="J30" i="3" s="1"/>
  <c r="F39" i="6"/>
  <c r="J35" i="3"/>
  <c r="J36" i="3" s="1"/>
  <c r="J22" i="3"/>
  <c r="J20" i="4"/>
  <c r="J21" i="4" s="1"/>
  <c r="J37" i="3"/>
  <c r="J38" i="3" s="1"/>
  <c r="J11" i="4"/>
  <c r="C41" i="6" l="1"/>
  <c r="J6" i="5"/>
  <c r="J32" i="3"/>
  <c r="F43" i="6"/>
  <c r="B49" i="6"/>
  <c r="I43" i="3"/>
  <c r="I45" i="3"/>
  <c r="I59" i="3"/>
  <c r="F44" i="6"/>
  <c r="H46" i="3"/>
  <c r="D40" i="6"/>
  <c r="H49" i="3"/>
  <c r="J9" i="4"/>
  <c r="J13" i="5"/>
  <c r="J14" i="5" s="1"/>
  <c r="J28" i="3"/>
  <c r="J42" i="3"/>
  <c r="G50" i="3"/>
  <c r="G51" i="3" s="1"/>
  <c r="J38" i="4"/>
  <c r="J28" i="4"/>
  <c r="J12" i="4"/>
  <c r="F45" i="6"/>
  <c r="J7" i="5"/>
  <c r="I39" i="4"/>
  <c r="J14" i="4"/>
  <c r="J15" i="4" s="1"/>
  <c r="I15" i="4"/>
  <c r="F53" i="3"/>
  <c r="H50" i="3" l="1"/>
  <c r="H51" i="3" s="1"/>
  <c r="I46" i="3"/>
  <c r="I49" i="3"/>
  <c r="E40" i="6"/>
  <c r="F55" i="3"/>
  <c r="F54" i="3"/>
  <c r="F44" i="4"/>
  <c r="F5" i="5"/>
  <c r="F8" i="5" s="1"/>
  <c r="D41" i="6"/>
  <c r="G53" i="3"/>
  <c r="J43" i="3"/>
  <c r="J45" i="3"/>
  <c r="C42" i="6"/>
  <c r="C46" i="6" s="1"/>
  <c r="J39" i="4"/>
  <c r="J46" i="3" l="1"/>
  <c r="J49" i="3"/>
  <c r="F40" i="6"/>
  <c r="F9" i="5"/>
  <c r="E41" i="6"/>
  <c r="E42" i="6"/>
  <c r="E46" i="6" s="1"/>
  <c r="E49" i="6" s="1"/>
  <c r="I50" i="3"/>
  <c r="I51" i="3" s="1"/>
  <c r="J59" i="3"/>
  <c r="G55" i="3"/>
  <c r="G5" i="5"/>
  <c r="G8" i="5" s="1"/>
  <c r="G54" i="3"/>
  <c r="C49" i="6"/>
  <c r="H53" i="3"/>
  <c r="D42" i="6"/>
  <c r="D46" i="6" s="1"/>
  <c r="D49" i="6" s="1"/>
  <c r="F45" i="4"/>
  <c r="G44" i="4"/>
  <c r="F17" i="5"/>
  <c r="F18" i="5" s="1"/>
  <c r="F21" i="5" s="1"/>
  <c r="F23" i="5" s="1"/>
  <c r="F5" i="4"/>
  <c r="F47" i="4"/>
  <c r="H5" i="5" l="1"/>
  <c r="H8" i="5" s="1"/>
  <c r="H54" i="3"/>
  <c r="H55" i="3"/>
  <c r="I53" i="3"/>
  <c r="F25" i="5"/>
  <c r="F24" i="5"/>
  <c r="F41" i="6"/>
  <c r="C19" i="7" s="1"/>
  <c r="F42" i="6"/>
  <c r="F46" i="6" s="1"/>
  <c r="E8" i="7" s="1"/>
  <c r="G9" i="5"/>
  <c r="B24" i="7"/>
  <c r="C7" i="7"/>
  <c r="J50" i="3"/>
  <c r="J51" i="3" s="1"/>
  <c r="F26" i="7"/>
  <c r="E24" i="7"/>
  <c r="B28" i="7"/>
  <c r="F9" i="7"/>
  <c r="E27" i="7"/>
  <c r="B10" i="7"/>
  <c r="F23" i="4"/>
  <c r="G20" i="5"/>
  <c r="G22" i="5"/>
  <c r="F6" i="4"/>
  <c r="F50" i="4"/>
  <c r="G45" i="4"/>
  <c r="H44" i="4"/>
  <c r="G17" i="5"/>
  <c r="G18" i="5" s="1"/>
  <c r="G47" i="4"/>
  <c r="G5" i="4"/>
  <c r="E25" i="7"/>
  <c r="D24" i="7"/>
  <c r="G21" i="5" l="1"/>
  <c r="F28" i="7"/>
  <c r="D7" i="7"/>
  <c r="C6" i="7"/>
  <c r="B8" i="7"/>
  <c r="D19" i="7"/>
  <c r="C9" i="7"/>
  <c r="F16" i="7"/>
  <c r="E15" i="7"/>
  <c r="F10" i="7"/>
  <c r="F24" i="7"/>
  <c r="B18" i="7"/>
  <c r="F27" i="7"/>
  <c r="B19" i="7"/>
  <c r="F6" i="7"/>
  <c r="B27" i="7"/>
  <c r="E28" i="7"/>
  <c r="F7" i="7"/>
  <c r="C15" i="7"/>
  <c r="E10" i="7"/>
  <c r="D9" i="7"/>
  <c r="C26" i="7"/>
  <c r="C10" i="7"/>
  <c r="D6" i="7"/>
  <c r="F19" i="7"/>
  <c r="C24" i="7"/>
  <c r="C28" i="7"/>
  <c r="B6" i="7"/>
  <c r="D28" i="7"/>
  <c r="D25" i="7"/>
  <c r="F8" i="7"/>
  <c r="H9" i="5"/>
  <c r="F48" i="4"/>
  <c r="F24" i="4"/>
  <c r="J53" i="3"/>
  <c r="B26" i="7"/>
  <c r="I55" i="3"/>
  <c r="I5" i="5"/>
  <c r="I8" i="5" s="1"/>
  <c r="I54" i="3"/>
  <c r="E9" i="7"/>
  <c r="F25" i="7"/>
  <c r="D26" i="7"/>
  <c r="E6" i="7"/>
  <c r="H20" i="5"/>
  <c r="G23" i="4"/>
  <c r="G6" i="4"/>
  <c r="H22" i="5"/>
  <c r="G50" i="4"/>
  <c r="F52" i="6"/>
  <c r="F54" i="6" s="1"/>
  <c r="F55" i="6" s="1"/>
  <c r="B60" i="6" s="1"/>
  <c r="F49" i="6"/>
  <c r="B59" i="6" s="1"/>
  <c r="B61" i="6" s="1"/>
  <c r="B65" i="6" s="1"/>
  <c r="B67" i="6" s="1"/>
  <c r="B69" i="6" s="1"/>
  <c r="D8" i="7"/>
  <c r="D27" i="7"/>
  <c r="C27" i="7"/>
  <c r="C25" i="7"/>
  <c r="C8" i="7"/>
  <c r="I44" i="4"/>
  <c r="H45" i="4"/>
  <c r="H17" i="5"/>
  <c r="H18" i="5" s="1"/>
  <c r="H21" i="5" s="1"/>
  <c r="H47" i="4"/>
  <c r="H5" i="4"/>
  <c r="G23" i="5"/>
  <c r="F15" i="7"/>
  <c r="D17" i="7"/>
  <c r="B15" i="7"/>
  <c r="C17" i="7"/>
  <c r="C18" i="7"/>
  <c r="D18" i="7"/>
  <c r="E17" i="7"/>
  <c r="D16" i="7"/>
  <c r="E19" i="7"/>
  <c r="E18" i="7"/>
  <c r="B16" i="7"/>
  <c r="D15" i="7"/>
  <c r="F18" i="7"/>
  <c r="F17" i="7"/>
  <c r="E16" i="7"/>
  <c r="B17" i="7"/>
  <c r="C16" i="7"/>
  <c r="B7" i="7"/>
  <c r="E7" i="7"/>
  <c r="B9" i="7"/>
  <c r="E26" i="7"/>
  <c r="D10" i="7"/>
  <c r="B25" i="7"/>
  <c r="H23" i="5" l="1"/>
  <c r="G25" i="5"/>
  <c r="G24" i="5"/>
  <c r="I20" i="5"/>
  <c r="I22" i="5"/>
  <c r="H23" i="4"/>
  <c r="H6" i="4"/>
  <c r="H50" i="4"/>
  <c r="B71" i="6"/>
  <c r="B23" i="1" s="1"/>
  <c r="B22" i="1"/>
  <c r="J55" i="3"/>
  <c r="J5" i="5"/>
  <c r="J8" i="5" s="1"/>
  <c r="J54" i="3"/>
  <c r="B72" i="6"/>
  <c r="I45" i="4"/>
  <c r="J44" i="4"/>
  <c r="I17" i="5"/>
  <c r="I18" i="5" s="1"/>
  <c r="I21" i="5" s="1"/>
  <c r="I5" i="4"/>
  <c r="I47" i="4"/>
  <c r="G48" i="4"/>
  <c r="G24" i="4"/>
  <c r="I9" i="5"/>
  <c r="J20" i="5" l="1"/>
  <c r="J22" i="5"/>
  <c r="I23" i="4"/>
  <c r="I6" i="4"/>
  <c r="I50" i="4"/>
  <c r="J45" i="4"/>
  <c r="J17" i="5"/>
  <c r="J18" i="5" s="1"/>
  <c r="J47" i="4"/>
  <c r="J5" i="4"/>
  <c r="H48" i="4"/>
  <c r="H24" i="4"/>
  <c r="J9" i="5"/>
  <c r="I23" i="5"/>
  <c r="H25" i="5"/>
  <c r="H24" i="5"/>
  <c r="J21" i="5" l="1"/>
  <c r="I25" i="5"/>
  <c r="I24" i="5"/>
  <c r="J23" i="4"/>
  <c r="J6" i="4"/>
  <c r="J50" i="4"/>
  <c r="I48" i="4"/>
  <c r="I24" i="4"/>
  <c r="J23" i="5"/>
  <c r="J25" i="5" l="1"/>
  <c r="J24" i="5"/>
  <c r="J24" i="4"/>
  <c r="J4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ibd-equity-model</author>
  </authors>
  <commentList>
    <comment ref="B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Source: Model policy, all, table Forecast fallback policy, row case_selector; ../../references/source_policy.md; source_id=assump_case_selector. Defaulted to Base for the requested real-data demo.</t>
        </r>
      </text>
    </comment>
    <comment ref="B15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2021A, table 233, row Total self-operated stores, December 31 2021; https://www.sec.gov/Archives/edgar/data/1767582/000110465924044514/lk-20231231x20f.htm; source_id=hist_prior_self_stores_2021A. Used only to calculate 2022 average stores.</t>
        </r>
      </text>
    </comment>
    <comment ref="B16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2021A, table 233, row Total partnership stores, December 31 2021; https://www.sec.gov/Archives/edgar/data/1767582/000110465924044514/lk-20231231x20f.htm; source_id=hist_prior_partnership_stores_2021A. Used only to calculate 2022 average stores.</t>
        </r>
      </text>
    </comment>
    <comment ref="D20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self_store_growth; ../../references/source_policy.md; source_id=assump_self_store_growth_2026E_Bear. Historical store/revenue productivity trend with explicit downside/upside; provisional, not consensus.</t>
        </r>
      </text>
    </comment>
    <comment ref="E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self_store_growth; ../../references/source_policy.md; source_id=assump_self_store_growth_2026E_Base. Historical store/revenue productivity trend with explicit downside/upside; provisional, not consensus.</t>
        </r>
      </text>
    </comment>
    <comment ref="F20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self_store_growth; ../../references/source_policy.md; source_id=assump_self_store_growth_2026E_Bull. Historical store/revenue productivity trend with explicit downside/upside; provisional, not consensus.</t>
        </r>
      </text>
    </comment>
    <comment ref="D2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self_store_growth; ../../references/source_policy.md; source_id=assump_self_store_growth_2027E_Bear. Historical store/revenue productivity trend with explicit downside/upside; provisional, not consensus.</t>
        </r>
      </text>
    </comment>
    <comment ref="E2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self_store_growth; ../../references/source_policy.md; source_id=assump_self_store_growth_2027E_Base. Historical store/revenue productivity trend with explicit downside/upside; provisional, not consensus.</t>
        </r>
      </text>
    </comment>
    <comment ref="F2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self_store_growth; ../../references/source_policy.md; source_id=assump_self_store_growth_2027E_Bull. Historical store/revenue productivity trend with explicit downside/upside; provisional, not consensus.</t>
        </r>
      </text>
    </comment>
    <comment ref="D2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self_store_growth; ../../references/source_policy.md; source_id=assump_self_store_growth_2028E_Bear. Historical store/revenue productivity trend with explicit downside/upside; provisional, not consensus.</t>
        </r>
      </text>
    </comment>
    <comment ref="E2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self_store_growth; ../../references/source_policy.md; source_id=assump_self_store_growth_2028E_Base. Historical store/revenue productivity trend with explicit downside/upside; provisional, not consensus.</t>
        </r>
      </text>
    </comment>
    <comment ref="F2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self_store_growth; ../../references/source_policy.md; source_id=assump_self_store_growth_2028E_Bull. Historical store/revenue productivity trend with explicit downside/upside; provisional, not consensus.</t>
        </r>
      </text>
    </comment>
    <comment ref="D23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self_store_growth; ../../references/source_policy.md; source_id=assump_self_store_growth_2029E_Bear. Historical store/revenue productivity trend with explicit downside/upside; provisional, not consensus.</t>
        </r>
      </text>
    </comment>
    <comment ref="E23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self_store_growth; ../../references/source_policy.md; source_id=assump_self_store_growth_2029E_Base. Historical store/revenue productivity trend with explicit downside/upside; provisional, not consensus.</t>
        </r>
      </text>
    </comment>
    <comment ref="F23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self_store_growth; ../../references/source_policy.md; source_id=assump_self_store_growth_2029E_Bull. Historical store/revenue productivity trend with explicit downside/upside; provisional, not consensus.</t>
        </r>
      </text>
    </comment>
    <comment ref="D2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self_store_growth; ../../references/source_policy.md; source_id=assump_self_store_growth_2030E_Bear. Historical store/revenue productivity trend with explicit downside/upside; provisional, not consensus.</t>
        </r>
      </text>
    </comment>
    <comment ref="E2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self_store_growth; ../../references/source_policy.md; source_id=assump_self_store_growth_2030E_Base. Historical store/revenue productivity trend with explicit downside/upside; provisional, not consensus.</t>
        </r>
      </text>
    </comment>
    <comment ref="F2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self_store_growth; ../../references/source_policy.md; source_id=assump_self_store_growth_2030E_Bull. Historical store/revenue productivity trend with explicit downside/upside; provisional, not consensus.</t>
        </r>
      </text>
    </comment>
    <comment ref="D25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partnership_store_growth; ../../references/source_policy.md; source_id=assump_partnership_store_growth_2026E_Bear. Historical store/revenue productivity trend with explicit downside/upside; provisional, not consensus.</t>
        </r>
      </text>
    </comment>
    <comment ref="E25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partnership_store_growth; ../../references/source_policy.md; source_id=assump_partnership_store_growth_2026E_Base. Historical store/revenue productivity trend with explicit downside/upside; provisional, not consensus.</t>
        </r>
      </text>
    </comment>
    <comment ref="F25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partnership_store_growth; ../../references/source_policy.md; source_id=assump_partnership_store_growth_2026E_Bull. Historical store/revenue productivity trend with explicit downside/upside; provisional, not consensus.</t>
        </r>
      </text>
    </comment>
    <comment ref="D26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partnership_store_growth; ../../references/source_policy.md; source_id=assump_partnership_store_growth_2027E_Bear. Historical store/revenue productivity trend with explicit downside/upside; provisional, not consensus.</t>
        </r>
      </text>
    </comment>
    <comment ref="E26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partnership_store_growth; ../../references/source_policy.md; source_id=assump_partnership_store_growth_2027E_Base. Historical store/revenue productivity trend with explicit downside/upside; provisional, not consensus.</t>
        </r>
      </text>
    </comment>
    <comment ref="F26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partnership_store_growth; ../../references/source_policy.md; source_id=assump_partnership_store_growth_2027E_Bull. Historical store/revenue productivity trend with explicit downside/upside; provisional, not consensus.</t>
        </r>
      </text>
    </comment>
    <comment ref="D27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partnership_store_growth; ../../references/source_policy.md; source_id=assump_partnership_store_growth_2028E_Bear. Historical store/revenue productivity trend with explicit downside/upside; provisional, not consensus.</t>
        </r>
      </text>
    </comment>
    <comment ref="E27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partnership_store_growth; ../../references/source_policy.md; source_id=assump_partnership_store_growth_2028E_Base. Historical store/revenue productivity trend with explicit downside/upside; provisional, not consensus.</t>
        </r>
      </text>
    </comment>
    <comment ref="F27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partnership_store_growth; ../../references/source_policy.md; source_id=assump_partnership_store_growth_2028E_Bull. Historical store/revenue productivity trend with explicit downside/upside; provisional, not consensus.</t>
        </r>
      </text>
    </comment>
    <comment ref="D28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partnership_store_growth; ../../references/source_policy.md; source_id=assump_partnership_store_growth_2029E_Bear. Historical store/revenue productivity trend with explicit downside/upside; provisional, not consensus.</t>
        </r>
      </text>
    </comment>
    <comment ref="E28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partnership_store_growth; ../../references/source_policy.md; source_id=assump_partnership_store_growth_2029E_Base. Historical store/revenue productivity trend with explicit downside/upside; provisional, not consensus.</t>
        </r>
      </text>
    </comment>
    <comment ref="F28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partnership_store_growth; ../../references/source_policy.md; source_id=assump_partnership_store_growth_2029E_Bull. Historical store/revenue productivity trend with explicit downside/upside; provisional, not consensus.</t>
        </r>
      </text>
    </comment>
    <comment ref="D29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partnership_store_growth; ../../references/source_policy.md; source_id=assump_partnership_store_growth_2030E_Bear. Historical store/revenue productivity trend with explicit downside/upside; provisional, not consensus.</t>
        </r>
      </text>
    </comment>
    <comment ref="E29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partnership_store_growth; ../../references/source_policy.md; source_id=assump_partnership_store_growth_2030E_Base. Historical store/revenue productivity trend with explicit downside/upside; provisional, not consensus.</t>
        </r>
      </text>
    </comment>
    <comment ref="F29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partnership_store_growth; ../../references/source_policy.md; source_id=assump_partnership_store_growth_2030E_Bull. Historical store/revenue productivity trend with explicit downside/upside; provisional, not consensus.</t>
        </r>
      </text>
    </comment>
    <comment ref="D30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product_rev_per_store_growth; ../../references/source_policy.md; source_id=assump_product_rev_per_store_growth_2026E_Bear. Historical store/revenue productivity trend with explicit downside/upside; provisional, not consensus.</t>
        </r>
      </text>
    </comment>
    <comment ref="E30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product_rev_per_store_growth; ../../references/source_policy.md; source_id=assump_product_rev_per_store_growth_2026E_Base. Historical store/revenue productivity trend with explicit downside/upside; provisional, not consensus.</t>
        </r>
      </text>
    </comment>
    <comment ref="F30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product_rev_per_store_growth; ../../references/source_policy.md; source_id=assump_product_rev_per_store_growth_2026E_Bull. Historical store/revenue productivity trend with explicit downside/upside; provisional, not consensus.</t>
        </r>
      </text>
    </comment>
    <comment ref="D31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product_rev_per_store_growth; ../../references/source_policy.md; source_id=assump_product_rev_per_store_growth_2027E_Bear. Historical store/revenue productivity trend with explicit downside/upside; provisional, not consensus.</t>
        </r>
      </text>
    </comment>
    <comment ref="E31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product_rev_per_store_growth; ../../references/source_policy.md; source_id=assump_product_rev_per_store_growth_2027E_Base. Historical store/revenue productivity trend with explicit downside/upside; provisional, not consensus.</t>
        </r>
      </text>
    </comment>
    <comment ref="F31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product_rev_per_store_growth; ../../references/source_policy.md; source_id=assump_product_rev_per_store_growth_2027E_Bull. Historical store/revenue productivity trend with explicit downside/upside; provisional, not consensus.</t>
        </r>
      </text>
    </comment>
    <comment ref="D32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product_rev_per_store_growth; ../../references/source_policy.md; source_id=assump_product_rev_per_store_growth_2028E_Bear. Historical store/revenue productivity trend with explicit downside/upside; provisional, not consensus.</t>
        </r>
      </text>
    </comment>
    <comment ref="E32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product_rev_per_store_growth; ../../references/source_policy.md; source_id=assump_product_rev_per_store_growth_2028E_Base. Historical store/revenue productivity trend with explicit downside/upside; provisional, not consensus.</t>
        </r>
      </text>
    </comment>
    <comment ref="F32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product_rev_per_store_growth; ../../references/source_policy.md; source_id=assump_product_rev_per_store_growth_2028E_Bull. Historical store/revenue productivity trend with explicit downside/upside; provisional, not consensus.</t>
        </r>
      </text>
    </comment>
    <comment ref="D33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product_rev_per_store_growth; ../../references/source_policy.md; source_id=assump_product_rev_per_store_growth_2029E_Bear. Historical store/revenue productivity trend with explicit downside/upside; provisional, not consensus.</t>
        </r>
      </text>
    </comment>
    <comment ref="E33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product_rev_per_store_growth; ../../references/source_policy.md; source_id=assump_product_rev_per_store_growth_2029E_Base. Historical store/revenue productivity trend with explicit downside/upside; provisional, not consensus.</t>
        </r>
      </text>
    </comment>
    <comment ref="F33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product_rev_per_store_growth; ../../references/source_policy.md; source_id=assump_product_rev_per_store_growth_2029E_Bull. Historical store/revenue productivity trend with explicit downside/upside; provisional, not consensus.</t>
        </r>
      </text>
    </comment>
    <comment ref="D34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product_rev_per_store_growth; ../../references/source_policy.md; source_id=assump_product_rev_per_store_growth_2030E_Bear. Historical store/revenue productivity trend with explicit downside/upside; provisional, not consensus.</t>
        </r>
      </text>
    </comment>
    <comment ref="E34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product_rev_per_store_growth; ../../references/source_policy.md; source_id=assump_product_rev_per_store_growth_2030E_Base. Historical store/revenue productivity trend with explicit downside/upside; provisional, not consensus.</t>
        </r>
      </text>
    </comment>
    <comment ref="F34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product_rev_per_store_growth; ../../references/source_policy.md; source_id=assump_product_rev_per_store_growth_2030E_Bull. Historical store/revenue productivity trend with explicit downside/upside; provisional, not consensus.</t>
        </r>
      </text>
    </comment>
    <comment ref="D35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partnership_rev_per_store_growth; ../../references/source_policy.md; source_id=assump_partnership_rev_per_store_growth_2026E_Bear. Historical store/revenue productivity trend with explicit downside/upside; provisional, not consensus.</t>
        </r>
      </text>
    </comment>
    <comment ref="E35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partnership_rev_per_store_growth; ../../references/source_policy.md; source_id=assump_partnership_rev_per_store_growth_2026E_Base. Historical store/revenue productivity trend with explicit downside/upside; provisional, not consensus.</t>
        </r>
      </text>
    </comment>
    <comment ref="F35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partnership_rev_per_store_growth; ../../references/source_policy.md; source_id=assump_partnership_rev_per_store_growth_2026E_Bull. Historical store/revenue productivity trend with explicit downside/upside; provisional, not consensus.</t>
        </r>
      </text>
    </comment>
    <comment ref="D36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partnership_rev_per_store_growth; ../../references/source_policy.md; source_id=assump_partnership_rev_per_store_growth_2027E_Bear. Historical store/revenue productivity trend with explicit downside/upside; provisional, not consensus.</t>
        </r>
      </text>
    </comment>
    <comment ref="E36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partnership_rev_per_store_growth; ../../references/source_policy.md; source_id=assump_partnership_rev_per_store_growth_2027E_Base. Historical store/revenue productivity trend with explicit downside/upside; provisional, not consensus.</t>
        </r>
      </text>
    </comment>
    <comment ref="F36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partnership_rev_per_store_growth; ../../references/source_policy.md; source_id=assump_partnership_rev_per_store_growth_2027E_Bull. Historical store/revenue productivity trend with explicit downside/upside; provisional, not consensus.</t>
        </r>
      </text>
    </comment>
    <comment ref="D37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partnership_rev_per_store_growth; ../../references/source_policy.md; source_id=assump_partnership_rev_per_store_growth_2028E_Bear. Historical store/revenue productivity trend with explicit downside/upside; provisional, not consensus.</t>
        </r>
      </text>
    </comment>
    <comment ref="E37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partnership_rev_per_store_growth; ../../references/source_policy.md; source_id=assump_partnership_rev_per_store_growth_2028E_Base. Historical store/revenue productivity trend with explicit downside/upside; provisional, not consensus.</t>
        </r>
      </text>
    </comment>
    <comment ref="F37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partnership_rev_per_store_growth; ../../references/source_policy.md; source_id=assump_partnership_rev_per_store_growth_2028E_Bull. Historical store/revenue productivity trend with explicit downside/upside; provisional, not consensus.</t>
        </r>
      </text>
    </comment>
    <comment ref="D38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partnership_rev_per_store_growth; ../../references/source_policy.md; source_id=assump_partnership_rev_per_store_growth_2029E_Bear. Historical store/revenue productivity trend with explicit downside/upside; provisional, not consensus.</t>
        </r>
      </text>
    </comment>
    <comment ref="E38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partnership_rev_per_store_growth; ../../references/source_policy.md; source_id=assump_partnership_rev_per_store_growth_2029E_Base. Historical store/revenue productivity trend with explicit downside/upside; provisional, not consensus.</t>
        </r>
      </text>
    </comment>
    <comment ref="F38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partnership_rev_per_store_growth; ../../references/source_policy.md; source_id=assump_partnership_rev_per_store_growth_2029E_Bull. Historical store/revenue productivity trend with explicit downside/upside; provisional, not consensus.</t>
        </r>
      </text>
    </comment>
    <comment ref="D39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partnership_rev_per_store_growth; ../../references/source_policy.md; source_id=assump_partnership_rev_per_store_growth_2030E_Bear. Historical store/revenue productivity trend with explicit downside/upside; provisional, not consensus.</t>
        </r>
      </text>
    </comment>
    <comment ref="E39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partnership_rev_per_store_growth; ../../references/source_policy.md; source_id=assump_partnership_rev_per_store_growth_2030E_Base. Historical store/revenue productivity trend with explicit downside/upside; provisional, not consensus.</t>
        </r>
      </text>
    </comment>
    <comment ref="F39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partnership_rev_per_store_growth; ../../references/source_policy.md; source_id=assump_partnership_rev_per_store_growth_2030E_Bull. Historical store/revenue productivity trend with explicit downside/upside; provisional, not consensus.</t>
        </r>
      </text>
    </comment>
    <comment ref="D40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materials_pct_revenue; ../../references/source_policy.md; source_id=assump_materials_pct_revenue_2026E_Bear. Historical ratio path with gradual normalization; provisional, not management guidance or consensus.</t>
        </r>
      </text>
    </comment>
    <comment ref="E40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materials_pct_revenue; ../../references/source_policy.md; source_id=assump_materials_pct_revenue_2026E_Base. Historical ratio path with gradual normalization; provisional, not management guidance or consensus.</t>
        </r>
      </text>
    </comment>
    <comment ref="F40" authorId="0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materials_pct_revenue; ../../references/source_policy.md; source_id=assump_materials_pct_revenue_2026E_Bull. Historical ratio path with gradual normalization; provisional, not management guidance or consensus.</t>
        </r>
      </text>
    </comment>
    <comment ref="D41" authorId="0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materials_pct_revenue; ../../references/source_policy.md; source_id=assump_materials_pct_revenue_2027E_Bear. Historical ratio path with gradual normalization; provisional, not management guidance or consensus.</t>
        </r>
      </text>
    </comment>
    <comment ref="E41" authorId="0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materials_pct_revenue; ../../references/source_policy.md; source_id=assump_materials_pct_revenue_2027E_Base. Historical ratio path with gradual normalization; provisional, not management guidance or consensus.</t>
        </r>
      </text>
    </comment>
    <comment ref="F41" authorId="0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materials_pct_revenue; ../../references/source_policy.md; source_id=assump_materials_pct_revenue_2027E_Bull. Historical ratio path with gradual normalization; provisional, not management guidance or consensus.</t>
        </r>
      </text>
    </comment>
    <comment ref="D42" authorId="0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materials_pct_revenue; ../../references/source_policy.md; source_id=assump_materials_pct_revenue_2028E_Bear. Historical ratio path with gradual normalization; provisional, not management guidance or consensus.</t>
        </r>
      </text>
    </comment>
    <comment ref="E42" authorId="0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materials_pct_revenue; ../../references/source_policy.md; source_id=assump_materials_pct_revenue_2028E_Base. Historical ratio path with gradual normalization; provisional, not management guidance or consensus.</t>
        </r>
      </text>
    </comment>
    <comment ref="F42" authorId="0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materials_pct_revenue; ../../references/source_policy.md; source_id=assump_materials_pct_revenue_2028E_Bull. Historical ratio path with gradual normalization; provisional, not management guidance or consensus.</t>
        </r>
      </text>
    </comment>
    <comment ref="D43" authorId="0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materials_pct_revenue; ../../references/source_policy.md; source_id=assump_materials_pct_revenue_2029E_Bear. Historical ratio path with gradual normalization; provisional, not management guidance or consensus.</t>
        </r>
      </text>
    </comment>
    <comment ref="E43" authorId="0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materials_pct_revenue; ../../references/source_policy.md; source_id=assump_materials_pct_revenue_2029E_Base. Historical ratio path with gradual normalization; provisional, not management guidance or consensus.</t>
        </r>
      </text>
    </comment>
    <comment ref="F43" authorId="0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materials_pct_revenue; ../../references/source_policy.md; source_id=assump_materials_pct_revenue_2029E_Bull. Historical ratio path with gradual normalization; provisional, not management guidance or consensus.</t>
        </r>
      </text>
    </comment>
    <comment ref="D44" authorId="0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materials_pct_revenue; ../../references/source_policy.md; source_id=assump_materials_pct_revenue_2030E_Bear. Historical ratio path with gradual normalization; provisional, not management guidance or consensus.</t>
        </r>
      </text>
    </comment>
    <comment ref="E44" authorId="0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materials_pct_revenue; ../../references/source_policy.md; source_id=assump_materials_pct_revenue_2030E_Base. Historical ratio path with gradual normalization; provisional, not management guidance or consensus.</t>
        </r>
      </text>
    </comment>
    <comment ref="F44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materials_pct_revenue; ../../references/source_policy.md; source_id=assump_materials_pct_revenue_2030E_Bull. Historical ratio path with gradual normalization; provisional, not management guidance or consensus.</t>
        </r>
      </text>
    </comment>
    <comment ref="D45" authorId="0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rent_pct_revenue; ../../references/source_policy.md; source_id=assump_rent_pct_revenue_2026E_Bear. Historical ratio path with gradual normalization; provisional, not management guidance or consensus.</t>
        </r>
      </text>
    </comment>
    <comment ref="E45" authorId="0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rent_pct_revenue; ../../references/source_policy.md; source_id=assump_rent_pct_revenue_2026E_Base. Historical ratio path with gradual normalization; provisional, not management guidance or consensus.</t>
        </r>
      </text>
    </comment>
    <comment ref="F45" authorId="0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rent_pct_revenue; ../../references/source_policy.md; source_id=assump_rent_pct_revenue_2026E_Bull. Historical ratio path with gradual normalization; provisional, not management guidance or consensus.</t>
        </r>
      </text>
    </comment>
    <comment ref="D46" authorId="0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rent_pct_revenue; ../../references/source_policy.md; source_id=assump_rent_pct_revenue_2027E_Bear. Historical ratio path with gradual normalization; provisional, not management guidance or consensus.</t>
        </r>
      </text>
    </comment>
    <comment ref="E46" authorId="0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rent_pct_revenue; ../../references/source_policy.md; source_id=assump_rent_pct_revenue_2027E_Base. Historical ratio path with gradual normalization; provisional, not management guidance or consensus.</t>
        </r>
      </text>
    </comment>
    <comment ref="F46" authorId="0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rent_pct_revenue; ../../references/source_policy.md; source_id=assump_rent_pct_revenue_2027E_Bull. Historical ratio path with gradual normalization; provisional, not management guidance or consensus.</t>
        </r>
      </text>
    </comment>
    <comment ref="D47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rent_pct_revenue; ../../references/source_policy.md; source_id=assump_rent_pct_revenue_2028E_Bear. Historical ratio path with gradual normalization; provisional, not management guidance or consensus.</t>
        </r>
      </text>
    </comment>
    <comment ref="E47" authorId="0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rent_pct_revenue; ../../references/source_policy.md; source_id=assump_rent_pct_revenue_2028E_Base. Historical ratio path with gradual normalization; provisional, not management guidance or consensus.</t>
        </r>
      </text>
    </comment>
    <comment ref="F47" authorId="0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rent_pct_revenue; ../../references/source_policy.md; source_id=assump_rent_pct_revenue_2028E_Bull. Historical ratio path with gradual normalization; provisional, not management guidance or consensus.</t>
        </r>
      </text>
    </comment>
    <comment ref="D48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rent_pct_revenue; ../../references/source_policy.md; source_id=assump_rent_pct_revenue_2029E_Bear. Historical ratio path with gradual normalization; provisional, not management guidance or consensus.</t>
        </r>
      </text>
    </comment>
    <comment ref="E48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rent_pct_revenue; ../../references/source_policy.md; source_id=assump_rent_pct_revenue_2029E_Base. Historical ratio path with gradual normalization; provisional, not management guidance or consensus.</t>
        </r>
      </text>
    </comment>
    <comment ref="F48" authorId="0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rent_pct_revenue; ../../references/source_policy.md; source_id=assump_rent_pct_revenue_2029E_Bull. Historical ratio path with gradual normalization; provisional, not management guidance or consensus.</t>
        </r>
      </text>
    </comment>
    <comment ref="D49" authorId="0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rent_pct_revenue; ../../references/source_policy.md; source_id=assump_rent_pct_revenue_2030E_Bear. Historical ratio path with gradual normalization; provisional, not management guidance or consensus.</t>
        </r>
      </text>
    </comment>
    <comment ref="E49" authorId="0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rent_pct_revenue; ../../references/source_policy.md; source_id=assump_rent_pct_revenue_2030E_Base. Historical ratio path with gradual normalization; provisional, not management guidance or consensus.</t>
        </r>
      </text>
    </comment>
    <comment ref="F49" authorId="0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rent_pct_revenue; ../../references/source_policy.md; source_id=assump_rent_pct_revenue_2030E_Bull. Historical ratio path with gradual normalization; provisional, not management guidance or consensus.</t>
        </r>
      </text>
    </comment>
    <comment ref="D50" authorId="0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da_pct_revenue; ../../references/source_policy.md; source_id=assump_da_pct_revenue_2026E_Bear. Historical ratio path with gradual normalization; provisional, not management guidance or consensus.</t>
        </r>
      </text>
    </comment>
    <comment ref="E50" authorId="0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da_pct_revenue; ../../references/source_policy.md; source_id=assump_da_pct_revenue_2026E_Base. Historical ratio path with gradual normalization; provisional, not management guidance or consensus.</t>
        </r>
      </text>
    </comment>
    <comment ref="F50" authorId="0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da_pct_revenue; ../../references/source_policy.md; source_id=assump_da_pct_revenue_2026E_Bull. Historical ratio path with gradual normalization; provisional, not management guidance or consensus.</t>
        </r>
      </text>
    </comment>
    <comment ref="D51" authorId="0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da_pct_revenue; ../../references/source_policy.md; source_id=assump_da_pct_revenue_2027E_Bear. Historical ratio path with gradual normalization; provisional, not management guidance or consensus.</t>
        </r>
      </text>
    </comment>
    <comment ref="E51" authorId="0" shapeId="0" xr:uid="{00000000-0006-0000-0100-000062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da_pct_revenue; ../../references/source_policy.md; source_id=assump_da_pct_revenue_2027E_Base. Historical ratio path with gradual normalization; provisional, not management guidance or consensus.</t>
        </r>
      </text>
    </comment>
    <comment ref="F51" authorId="0" shapeId="0" xr:uid="{00000000-0006-0000-0100-000063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da_pct_revenue; ../../references/source_policy.md; source_id=assump_da_pct_revenue_2027E_Bull. Historical ratio path with gradual normalization; provisional, not management guidance or consensus.</t>
        </r>
      </text>
    </comment>
    <comment ref="D52" authorId="0" shapeId="0" xr:uid="{00000000-0006-0000-0100-000064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da_pct_revenue; ../../references/source_policy.md; source_id=assump_da_pct_revenue_2028E_Bear. Historical ratio path with gradual normalization; provisional, not management guidance or consensus.</t>
        </r>
      </text>
    </comment>
    <comment ref="E52" authorId="0" shapeId="0" xr:uid="{00000000-0006-0000-0100-000065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da_pct_revenue; ../../references/source_policy.md; source_id=assump_da_pct_revenue_2028E_Base. Historical ratio path with gradual normalization; provisional, not management guidance or consensus.</t>
        </r>
      </text>
    </comment>
    <comment ref="F52" authorId="0" shapeId="0" xr:uid="{00000000-0006-0000-0100-000066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da_pct_revenue; ../../references/source_policy.md; source_id=assump_da_pct_revenue_2028E_Bull. Historical ratio path with gradual normalization; provisional, not management guidance or consensus.</t>
        </r>
      </text>
    </comment>
    <comment ref="D53" authorId="0" shapeId="0" xr:uid="{00000000-0006-0000-0100-000067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da_pct_revenue; ../../references/source_policy.md; source_id=assump_da_pct_revenue_2029E_Bear. Historical ratio path with gradual normalization; provisional, not management guidance or consensus.</t>
        </r>
      </text>
    </comment>
    <comment ref="E53" authorId="0" shapeId="0" xr:uid="{00000000-0006-0000-0100-000068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da_pct_revenue; ../../references/source_policy.md; source_id=assump_da_pct_revenue_2029E_Base. Historical ratio path with gradual normalization; provisional, not management guidance or consensus.</t>
        </r>
      </text>
    </comment>
    <comment ref="F53" authorId="0" shapeId="0" xr:uid="{00000000-0006-0000-0100-000069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da_pct_revenue; ../../references/source_policy.md; source_id=assump_da_pct_revenue_2029E_Bull. Historical ratio path with gradual normalization; provisional, not management guidance or consensus.</t>
        </r>
      </text>
    </comment>
    <comment ref="D54" authorId="0" shapeId="0" xr:uid="{00000000-0006-0000-0100-00006A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da_pct_revenue; ../../references/source_policy.md; source_id=assump_da_pct_revenue_2030E_Bear. Historical ratio path with gradual normalization; provisional, not management guidance or consensus.</t>
        </r>
      </text>
    </comment>
    <comment ref="E54" authorId="0" shapeId="0" xr:uid="{00000000-0006-0000-0100-00006B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da_pct_revenue; ../../references/source_policy.md; source_id=assump_da_pct_revenue_2030E_Base. Historical ratio path with gradual normalization; provisional, not management guidance or consensus.</t>
        </r>
      </text>
    </comment>
    <comment ref="F54" authorId="0" shapeId="0" xr:uid="{00000000-0006-0000-0100-00006C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da_pct_revenue; ../../references/source_policy.md; source_id=assump_da_pct_revenue_2030E_Bull. Historical ratio path with gradual normalization; provisional, not management guidance or consensus.</t>
        </r>
      </text>
    </comment>
    <comment ref="D55" authorId="0" shapeId="0" xr:uid="{00000000-0006-0000-0100-00006D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delivery_pct_revenue; ../../references/source_policy.md; source_id=assump_delivery_pct_revenue_2026E_Bear. Historical ratio path with gradual normalization; provisional, not management guidance or consensus.</t>
        </r>
      </text>
    </comment>
    <comment ref="E55" authorId="0" shapeId="0" xr:uid="{00000000-0006-0000-0100-00006E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delivery_pct_revenue; ../../references/source_policy.md; source_id=assump_delivery_pct_revenue_2026E_Base. Historical ratio path with gradual normalization; provisional, not management guidance or consensus.</t>
        </r>
      </text>
    </comment>
    <comment ref="F55" authorId="0" shapeId="0" xr:uid="{00000000-0006-0000-0100-00006F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delivery_pct_revenue; ../../references/source_policy.md; source_id=assump_delivery_pct_revenue_2026E_Bull. Historical ratio path with gradual normalization; provisional, not management guidance or consensus.</t>
        </r>
      </text>
    </comment>
    <comment ref="D56" authorId="0" shapeId="0" xr:uid="{00000000-0006-0000-0100-000070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delivery_pct_revenue; ../../references/source_policy.md; source_id=assump_delivery_pct_revenue_2027E_Bear. Historical ratio path with gradual normalization; provisional, not management guidance or consensus.</t>
        </r>
      </text>
    </comment>
    <comment ref="E56" authorId="0" shapeId="0" xr:uid="{00000000-0006-0000-0100-000071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delivery_pct_revenue; ../../references/source_policy.md; source_id=assump_delivery_pct_revenue_2027E_Base. Historical ratio path with gradual normalization; provisional, not management guidance or consensus.</t>
        </r>
      </text>
    </comment>
    <comment ref="F56" authorId="0" shapeId="0" xr:uid="{00000000-0006-0000-0100-000072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delivery_pct_revenue; ../../references/source_policy.md; source_id=assump_delivery_pct_revenue_2027E_Bull. Historical ratio path with gradual normalization; provisional, not management guidance or consensus.</t>
        </r>
      </text>
    </comment>
    <comment ref="D57" authorId="0" shapeId="0" xr:uid="{00000000-0006-0000-0100-000073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delivery_pct_revenue; ../../references/source_policy.md; source_id=assump_delivery_pct_revenue_2028E_Bear. Historical ratio path with gradual normalization; provisional, not management guidance or consensus.</t>
        </r>
      </text>
    </comment>
    <comment ref="E57" authorId="0" shapeId="0" xr:uid="{00000000-0006-0000-0100-000074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delivery_pct_revenue; ../../references/source_policy.md; source_id=assump_delivery_pct_revenue_2028E_Base. Historical ratio path with gradual normalization; provisional, not management guidance or consensus.</t>
        </r>
      </text>
    </comment>
    <comment ref="F57" authorId="0" shapeId="0" xr:uid="{00000000-0006-0000-0100-000075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delivery_pct_revenue; ../../references/source_policy.md; source_id=assump_delivery_pct_revenue_2028E_Bull. Historical ratio path with gradual normalization; provisional, not management guidance or consensus.</t>
        </r>
      </text>
    </comment>
    <comment ref="D58" authorId="0" shapeId="0" xr:uid="{00000000-0006-0000-0100-000076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delivery_pct_revenue; ../../references/source_policy.md; source_id=assump_delivery_pct_revenue_2029E_Bear. Historical ratio path with gradual normalization; provisional, not management guidance or consensus.</t>
        </r>
      </text>
    </comment>
    <comment ref="E58" authorId="0" shapeId="0" xr:uid="{00000000-0006-0000-0100-000077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delivery_pct_revenue; ../../references/source_policy.md; source_id=assump_delivery_pct_revenue_2029E_Base. Historical ratio path with gradual normalization; provisional, not management guidance or consensus.</t>
        </r>
      </text>
    </comment>
    <comment ref="F58" authorId="0" shapeId="0" xr:uid="{00000000-0006-0000-0100-000078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delivery_pct_revenue; ../../references/source_policy.md; source_id=assump_delivery_pct_revenue_2029E_Bull. Historical ratio path with gradual normalization; provisional, not management guidance or consensus.</t>
        </r>
      </text>
    </comment>
    <comment ref="D59" authorId="0" shapeId="0" xr:uid="{00000000-0006-0000-0100-000079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delivery_pct_revenue; ../../references/source_policy.md; source_id=assump_delivery_pct_revenue_2030E_Bear. Historical ratio path with gradual normalization; provisional, not management guidance or consensus.</t>
        </r>
      </text>
    </comment>
    <comment ref="E59" authorId="0" shapeId="0" xr:uid="{00000000-0006-0000-0100-00007A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delivery_pct_revenue; ../../references/source_policy.md; source_id=assump_delivery_pct_revenue_2030E_Base. Historical ratio path with gradual normalization; provisional, not management guidance or consensus.</t>
        </r>
      </text>
    </comment>
    <comment ref="F59" authorId="0" shapeId="0" xr:uid="{00000000-0006-0000-0100-00007B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delivery_pct_revenue; ../../references/source_policy.md; source_id=assump_delivery_pct_revenue_2030E_Bull. Historical ratio path with gradual normalization; provisional, not management guidance or consensus.</t>
        </r>
      </text>
    </comment>
    <comment ref="D60" authorId="0" shapeId="0" xr:uid="{00000000-0006-0000-0100-00007C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sm_pct_revenue; ../../references/source_policy.md; source_id=assump_sm_pct_revenue_2026E_Bear. Historical ratio path with gradual normalization; provisional, not management guidance or consensus.</t>
        </r>
      </text>
    </comment>
    <comment ref="E60" authorId="0" shapeId="0" xr:uid="{00000000-0006-0000-0100-00007D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sm_pct_revenue; ../../references/source_policy.md; source_id=assump_sm_pct_revenue_2026E_Base. Historical ratio path with gradual normalization; provisional, not management guidance or consensus.</t>
        </r>
      </text>
    </comment>
    <comment ref="F60" authorId="0" shapeId="0" xr:uid="{00000000-0006-0000-0100-00007E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sm_pct_revenue; ../../references/source_policy.md; source_id=assump_sm_pct_revenue_2026E_Bull. Historical ratio path with gradual normalization; provisional, not management guidance or consensus.</t>
        </r>
      </text>
    </comment>
    <comment ref="D61" authorId="0" shapeId="0" xr:uid="{00000000-0006-0000-0100-00007F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sm_pct_revenue; ../../references/source_policy.md; source_id=assump_sm_pct_revenue_2027E_Bear. Historical ratio path with gradual normalization; provisional, not management guidance or consensus.</t>
        </r>
      </text>
    </comment>
    <comment ref="E61" authorId="0" shapeId="0" xr:uid="{00000000-0006-0000-0100-000080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sm_pct_revenue; ../../references/source_policy.md; source_id=assump_sm_pct_revenue_2027E_Base. Historical ratio path with gradual normalization; provisional, not management guidance or consensus.</t>
        </r>
      </text>
    </comment>
    <comment ref="F61" authorId="0" shapeId="0" xr:uid="{00000000-0006-0000-0100-000081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sm_pct_revenue; ../../references/source_policy.md; source_id=assump_sm_pct_revenue_2027E_Bull. Historical ratio path with gradual normalization; provisional, not management guidance or consensus.</t>
        </r>
      </text>
    </comment>
    <comment ref="D62" authorId="0" shapeId="0" xr:uid="{00000000-0006-0000-0100-000082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sm_pct_revenue; ../../references/source_policy.md; source_id=assump_sm_pct_revenue_2028E_Bear. Historical ratio path with gradual normalization; provisional, not management guidance or consensus.</t>
        </r>
      </text>
    </comment>
    <comment ref="E62" authorId="0" shapeId="0" xr:uid="{00000000-0006-0000-0100-000083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sm_pct_revenue; ../../references/source_policy.md; source_id=assump_sm_pct_revenue_2028E_Base. Historical ratio path with gradual normalization; provisional, not management guidance or consensus.</t>
        </r>
      </text>
    </comment>
    <comment ref="F62" authorId="0" shapeId="0" xr:uid="{00000000-0006-0000-0100-000084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sm_pct_revenue; ../../references/source_policy.md; source_id=assump_sm_pct_revenue_2028E_Bull. Historical ratio path with gradual normalization; provisional, not management guidance or consensus.</t>
        </r>
      </text>
    </comment>
    <comment ref="D63" authorId="0" shapeId="0" xr:uid="{00000000-0006-0000-0100-000085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sm_pct_revenue; ../../references/source_policy.md; source_id=assump_sm_pct_revenue_2029E_Bear. Historical ratio path with gradual normalization; provisional, not management guidance or consensus.</t>
        </r>
      </text>
    </comment>
    <comment ref="E63" authorId="0" shapeId="0" xr:uid="{00000000-0006-0000-0100-000086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sm_pct_revenue; ../../references/source_policy.md; source_id=assump_sm_pct_revenue_2029E_Base. Historical ratio path with gradual normalization; provisional, not management guidance or consensus.</t>
        </r>
      </text>
    </comment>
    <comment ref="F63" authorId="0" shapeId="0" xr:uid="{00000000-0006-0000-0100-000087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sm_pct_revenue; ../../references/source_policy.md; source_id=assump_sm_pct_revenue_2029E_Bull. Historical ratio path with gradual normalization; provisional, not management guidance or consensus.</t>
        </r>
      </text>
    </comment>
    <comment ref="D64" authorId="0" shapeId="0" xr:uid="{00000000-0006-0000-0100-000088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sm_pct_revenue; ../../references/source_policy.md; source_id=assump_sm_pct_revenue_2030E_Bear. Historical ratio path with gradual normalization; provisional, not management guidance or consensus.</t>
        </r>
      </text>
    </comment>
    <comment ref="E64" authorId="0" shapeId="0" xr:uid="{00000000-0006-0000-0100-000089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sm_pct_revenue; ../../references/source_policy.md; source_id=assump_sm_pct_revenue_2030E_Base. Historical ratio path with gradual normalization; provisional, not management guidance or consensus.</t>
        </r>
      </text>
    </comment>
    <comment ref="F64" authorId="0" shapeId="0" xr:uid="{00000000-0006-0000-0100-00008A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sm_pct_revenue; ../../references/source_policy.md; source_id=assump_sm_pct_revenue_2030E_Bull. Historical ratio path with gradual normalization; provisional, not management guidance or consensus.</t>
        </r>
      </text>
    </comment>
    <comment ref="D65" authorId="0" shapeId="0" xr:uid="{00000000-0006-0000-0100-00008B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ga_pct_revenue; ../../references/source_policy.md; source_id=assump_ga_pct_revenue_2026E_Bear. Historical ratio path with gradual normalization; provisional, not management guidance or consensus.</t>
        </r>
      </text>
    </comment>
    <comment ref="E65" authorId="0" shapeId="0" xr:uid="{00000000-0006-0000-0100-00008C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ga_pct_revenue; ../../references/source_policy.md; source_id=assump_ga_pct_revenue_2026E_Base. Historical ratio path with gradual normalization; provisional, not management guidance or consensus.</t>
        </r>
      </text>
    </comment>
    <comment ref="F65" authorId="0" shapeId="0" xr:uid="{00000000-0006-0000-0100-00008D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ga_pct_revenue; ../../references/source_policy.md; source_id=assump_ga_pct_revenue_2026E_Bull. Historical ratio path with gradual normalization; provisional, not management guidance or consensus.</t>
        </r>
      </text>
    </comment>
    <comment ref="D66" authorId="0" shapeId="0" xr:uid="{00000000-0006-0000-0100-00008E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ga_pct_revenue; ../../references/source_policy.md; source_id=assump_ga_pct_revenue_2027E_Bear. Historical ratio path with gradual normalization; provisional, not management guidance or consensus.</t>
        </r>
      </text>
    </comment>
    <comment ref="E66" authorId="0" shapeId="0" xr:uid="{00000000-0006-0000-0100-00008F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ga_pct_revenue; ../../references/source_policy.md; source_id=assump_ga_pct_revenue_2027E_Base. Historical ratio path with gradual normalization; provisional, not management guidance or consensus.</t>
        </r>
      </text>
    </comment>
    <comment ref="F66" authorId="0" shapeId="0" xr:uid="{00000000-0006-0000-0100-000090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ga_pct_revenue; ../../references/source_policy.md; source_id=assump_ga_pct_revenue_2027E_Bull. Historical ratio path with gradual normalization; provisional, not management guidance or consensus.</t>
        </r>
      </text>
    </comment>
    <comment ref="D67" authorId="0" shapeId="0" xr:uid="{00000000-0006-0000-0100-000091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ga_pct_revenue; ../../references/source_policy.md; source_id=assump_ga_pct_revenue_2028E_Bear. Historical ratio path with gradual normalization; provisional, not management guidance or consensus.</t>
        </r>
      </text>
    </comment>
    <comment ref="E67" authorId="0" shapeId="0" xr:uid="{00000000-0006-0000-0100-000092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ga_pct_revenue; ../../references/source_policy.md; source_id=assump_ga_pct_revenue_2028E_Base. Historical ratio path with gradual normalization; provisional, not management guidance or consensus.</t>
        </r>
      </text>
    </comment>
    <comment ref="F67" authorId="0" shapeId="0" xr:uid="{00000000-0006-0000-0100-000093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ga_pct_revenue; ../../references/source_policy.md; source_id=assump_ga_pct_revenue_2028E_Bull. Historical ratio path with gradual normalization; provisional, not management guidance or consensus.</t>
        </r>
      </text>
    </comment>
    <comment ref="D68" authorId="0" shapeId="0" xr:uid="{00000000-0006-0000-0100-000094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ga_pct_revenue; ../../references/source_policy.md; source_id=assump_ga_pct_revenue_2029E_Bear. Historical ratio path with gradual normalization; provisional, not management guidance or consensus.</t>
        </r>
      </text>
    </comment>
    <comment ref="E68" authorId="0" shapeId="0" xr:uid="{00000000-0006-0000-0100-000095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ga_pct_revenue; ../../references/source_policy.md; source_id=assump_ga_pct_revenue_2029E_Base. Historical ratio path with gradual normalization; provisional, not management guidance or consensus.</t>
        </r>
      </text>
    </comment>
    <comment ref="F68" authorId="0" shapeId="0" xr:uid="{00000000-0006-0000-0100-000096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ga_pct_revenue; ../../references/source_policy.md; source_id=assump_ga_pct_revenue_2029E_Bull. Historical ratio path with gradual normalization; provisional, not management guidance or consensus.</t>
        </r>
      </text>
    </comment>
    <comment ref="D69" authorId="0" shapeId="0" xr:uid="{00000000-0006-0000-0100-000097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ga_pct_revenue; ../../references/source_policy.md; source_id=assump_ga_pct_revenue_2030E_Bear. Historical ratio path with gradual normalization; provisional, not management guidance or consensus.</t>
        </r>
      </text>
    </comment>
    <comment ref="E69" authorId="0" shapeId="0" xr:uid="{00000000-0006-0000-0100-000098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ga_pct_revenue; ../../references/source_policy.md; source_id=assump_ga_pct_revenue_2030E_Base. Historical ratio path with gradual normalization; provisional, not management guidance or consensus.</t>
        </r>
      </text>
    </comment>
    <comment ref="F69" authorId="0" shapeId="0" xr:uid="{00000000-0006-0000-0100-000099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ga_pct_revenue; ../../references/source_policy.md; source_id=assump_ga_pct_revenue_2030E_Bull. Historical ratio path with gradual normalization; provisional, not management guidance or consensus.</t>
        </r>
      </text>
    </comment>
    <comment ref="D70" authorId="0" shapeId="0" xr:uid="{00000000-0006-0000-0100-00009A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other_opex_pct_revenue; ../../references/source_policy.md; source_id=assump_other_opex_pct_revenue_2026E_Bear. Historical ratio path with gradual normalization; provisional, not management guidance or consensus.</t>
        </r>
      </text>
    </comment>
    <comment ref="E70" authorId="0" shapeId="0" xr:uid="{00000000-0006-0000-0100-00009B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other_opex_pct_revenue; ../../references/source_policy.md; source_id=assump_other_opex_pct_revenue_2026E_Base. Historical ratio path with gradual normalization; provisional, not management guidance or consensus.</t>
        </r>
      </text>
    </comment>
    <comment ref="F70" authorId="0" shapeId="0" xr:uid="{00000000-0006-0000-0100-00009C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other_opex_pct_revenue; ../../references/source_policy.md; source_id=assump_other_opex_pct_revenue_2026E_Bull. Historical ratio path with gradual normalization; provisional, not management guidance or consensus.</t>
        </r>
      </text>
    </comment>
    <comment ref="D71" authorId="0" shapeId="0" xr:uid="{00000000-0006-0000-0100-00009D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other_opex_pct_revenue; ../../references/source_policy.md; source_id=assump_other_opex_pct_revenue_2027E_Bear. Historical ratio path with gradual normalization; provisional, not management guidance or consensus.</t>
        </r>
      </text>
    </comment>
    <comment ref="E71" authorId="0" shapeId="0" xr:uid="{00000000-0006-0000-0100-00009E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other_opex_pct_revenue; ../../references/source_policy.md; source_id=assump_other_opex_pct_revenue_2027E_Base. Historical ratio path with gradual normalization; provisional, not management guidance or consensus.</t>
        </r>
      </text>
    </comment>
    <comment ref="F71" authorId="0" shapeId="0" xr:uid="{00000000-0006-0000-0100-00009F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other_opex_pct_revenue; ../../references/source_policy.md; source_id=assump_other_opex_pct_revenue_2027E_Bull. Historical ratio path with gradual normalization; provisional, not management guidance or consensus.</t>
        </r>
      </text>
    </comment>
    <comment ref="D72" authorId="0" shapeId="0" xr:uid="{00000000-0006-0000-0100-0000A0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other_opex_pct_revenue; ../../references/source_policy.md; source_id=assump_other_opex_pct_revenue_2028E_Bear. Historical ratio path with gradual normalization; provisional, not management guidance or consensus.</t>
        </r>
      </text>
    </comment>
    <comment ref="E72" authorId="0" shapeId="0" xr:uid="{00000000-0006-0000-0100-0000A1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other_opex_pct_revenue; ../../references/source_policy.md; source_id=assump_other_opex_pct_revenue_2028E_Base. Historical ratio path with gradual normalization; provisional, not management guidance or consensus.</t>
        </r>
      </text>
    </comment>
    <comment ref="F72" authorId="0" shapeId="0" xr:uid="{00000000-0006-0000-0100-0000A2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other_opex_pct_revenue; ../../references/source_policy.md; source_id=assump_other_opex_pct_revenue_2028E_Bull. Historical ratio path with gradual normalization; provisional, not management guidance or consensus.</t>
        </r>
      </text>
    </comment>
    <comment ref="D73" authorId="0" shapeId="0" xr:uid="{00000000-0006-0000-0100-0000A3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other_opex_pct_revenue; ../../references/source_policy.md; source_id=assump_other_opex_pct_revenue_2029E_Bear. Historical ratio path with gradual normalization; provisional, not management guidance or consensus.</t>
        </r>
      </text>
    </comment>
    <comment ref="E73" authorId="0" shapeId="0" xr:uid="{00000000-0006-0000-0100-0000A4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other_opex_pct_revenue; ../../references/source_policy.md; source_id=assump_other_opex_pct_revenue_2029E_Base. Historical ratio path with gradual normalization; provisional, not management guidance or consensus.</t>
        </r>
      </text>
    </comment>
    <comment ref="F73" authorId="0" shapeId="0" xr:uid="{00000000-0006-0000-0100-0000A5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other_opex_pct_revenue; ../../references/source_policy.md; source_id=assump_other_opex_pct_revenue_2029E_Bull. Historical ratio path with gradual normalization; provisional, not management guidance or consensus.</t>
        </r>
      </text>
    </comment>
    <comment ref="D74" authorId="0" shapeId="0" xr:uid="{00000000-0006-0000-0100-0000A6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other_opex_pct_revenue; ../../references/source_policy.md; source_id=assump_other_opex_pct_revenue_2030E_Bear. Historical ratio path with gradual normalization; provisional, not management guidance or consensus.</t>
        </r>
      </text>
    </comment>
    <comment ref="E74" authorId="0" shapeId="0" xr:uid="{00000000-0006-0000-0100-0000A7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other_opex_pct_revenue; ../../references/source_policy.md; source_id=assump_other_opex_pct_revenue_2030E_Base. Historical ratio path with gradual normalization; provisional, not management guidance or consensus.</t>
        </r>
      </text>
    </comment>
    <comment ref="F74" authorId="0" shapeId="0" xr:uid="{00000000-0006-0000-0100-0000A8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other_opex_pct_revenue; ../../references/source_policy.md; source_id=assump_other_opex_pct_revenue_2030E_Bull. Historical ratio path with gradual normalization; provisional, not management guidance or consensus.</t>
        </r>
      </text>
    </comment>
    <comment ref="D75" authorId="0" shapeId="0" xr:uid="{00000000-0006-0000-0100-0000A9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net_nonop_pct_revenue; ../../references/source_policy.md; source_id=assump_net_nonop_pct_revenue_2026E_Bear. Historical ratio path with gradual normalization; provisional, not management guidance or consensus.</t>
        </r>
      </text>
    </comment>
    <comment ref="E75" authorId="0" shapeId="0" xr:uid="{00000000-0006-0000-0100-0000AA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net_nonop_pct_revenue; ../../references/source_policy.md; source_id=assump_net_nonop_pct_revenue_2026E_Base. Historical ratio path with gradual normalization; provisional, not management guidance or consensus.</t>
        </r>
      </text>
    </comment>
    <comment ref="F75" authorId="0" shapeId="0" xr:uid="{00000000-0006-0000-0100-0000AB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net_nonop_pct_revenue; ../../references/source_policy.md; source_id=assump_net_nonop_pct_revenue_2026E_Bull. Historical ratio path with gradual normalization; provisional, not management guidance or consensus.</t>
        </r>
      </text>
    </comment>
    <comment ref="D76" authorId="0" shapeId="0" xr:uid="{00000000-0006-0000-0100-0000AC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net_nonop_pct_revenue; ../../references/source_policy.md; source_id=assump_net_nonop_pct_revenue_2027E_Bear. Historical ratio path with gradual normalization; provisional, not management guidance or consensus.</t>
        </r>
      </text>
    </comment>
    <comment ref="E76" authorId="0" shapeId="0" xr:uid="{00000000-0006-0000-0100-0000AD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net_nonop_pct_revenue; ../../references/source_policy.md; source_id=assump_net_nonop_pct_revenue_2027E_Base. Historical ratio path with gradual normalization; provisional, not management guidance or consensus.</t>
        </r>
      </text>
    </comment>
    <comment ref="F76" authorId="0" shapeId="0" xr:uid="{00000000-0006-0000-0100-0000AE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net_nonop_pct_revenue; ../../references/source_policy.md; source_id=assump_net_nonop_pct_revenue_2027E_Bull. Historical ratio path with gradual normalization; provisional, not management guidance or consensus.</t>
        </r>
      </text>
    </comment>
    <comment ref="D77" authorId="0" shapeId="0" xr:uid="{00000000-0006-0000-0100-0000AF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net_nonop_pct_revenue; ../../references/source_policy.md; source_id=assump_net_nonop_pct_revenue_2028E_Bear. Historical ratio path with gradual normalization; provisional, not management guidance or consensus.</t>
        </r>
      </text>
    </comment>
    <comment ref="E77" authorId="0" shapeId="0" xr:uid="{00000000-0006-0000-0100-0000B0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net_nonop_pct_revenue; ../../references/source_policy.md; source_id=assump_net_nonop_pct_revenue_2028E_Base. Historical ratio path with gradual normalization; provisional, not management guidance or consensus.</t>
        </r>
      </text>
    </comment>
    <comment ref="F77" authorId="0" shapeId="0" xr:uid="{00000000-0006-0000-0100-0000B1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net_nonop_pct_revenue; ../../references/source_policy.md; source_id=assump_net_nonop_pct_revenue_2028E_Bull. Historical ratio path with gradual normalization; provisional, not management guidance or consensus.</t>
        </r>
      </text>
    </comment>
    <comment ref="D78" authorId="0" shapeId="0" xr:uid="{00000000-0006-0000-0100-0000B2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net_nonop_pct_revenue; ../../references/source_policy.md; source_id=assump_net_nonop_pct_revenue_2029E_Bear. Historical ratio path with gradual normalization; provisional, not management guidance or consensus.</t>
        </r>
      </text>
    </comment>
    <comment ref="E78" authorId="0" shapeId="0" xr:uid="{00000000-0006-0000-0100-0000B3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net_nonop_pct_revenue; ../../references/source_policy.md; source_id=assump_net_nonop_pct_revenue_2029E_Base. Historical ratio path with gradual normalization; provisional, not management guidance or consensus.</t>
        </r>
      </text>
    </comment>
    <comment ref="F78" authorId="0" shapeId="0" xr:uid="{00000000-0006-0000-0100-0000B4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net_nonop_pct_revenue; ../../references/source_policy.md; source_id=assump_net_nonop_pct_revenue_2029E_Bull. Historical ratio path with gradual normalization; provisional, not management guidance or consensus.</t>
        </r>
      </text>
    </comment>
    <comment ref="D79" authorId="0" shapeId="0" xr:uid="{00000000-0006-0000-0100-0000B5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net_nonop_pct_revenue; ../../references/source_policy.md; source_id=assump_net_nonop_pct_revenue_2030E_Bear. Historical ratio path with gradual normalization; provisional, not management guidance or consensus.</t>
        </r>
      </text>
    </comment>
    <comment ref="E79" authorId="0" shapeId="0" xr:uid="{00000000-0006-0000-0100-0000B6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net_nonop_pct_revenue; ../../references/source_policy.md; source_id=assump_net_nonop_pct_revenue_2030E_Base. Historical ratio path with gradual normalization; provisional, not management guidance or consensus.</t>
        </r>
      </text>
    </comment>
    <comment ref="F79" authorId="0" shapeId="0" xr:uid="{00000000-0006-0000-0100-0000B7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net_nonop_pct_revenue; ../../references/source_policy.md; source_id=assump_net_nonop_pct_revenue_2030E_Bull. Historical ratio path with gradual normalization; provisional, not management guidance or consensus.</t>
        </r>
      </text>
    </comment>
    <comment ref="D80" authorId="0" shapeId="0" xr:uid="{00000000-0006-0000-0100-0000B8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tax_rate; ../../references/source_policy.md; source_id=assump_tax_rate_2026E_Bear. Historical ratio path with gradual normalization; provisional, not management guidance or consensus.</t>
        </r>
      </text>
    </comment>
    <comment ref="E80" authorId="0" shapeId="0" xr:uid="{00000000-0006-0000-0100-0000B9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tax_rate; ../../references/source_policy.md; source_id=assump_tax_rate_2026E_Base. Historical ratio path with gradual normalization; provisional, not management guidance or consensus.</t>
        </r>
      </text>
    </comment>
    <comment ref="F80" authorId="0" shapeId="0" xr:uid="{00000000-0006-0000-0100-0000BA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tax_rate; ../../references/source_policy.md; source_id=assump_tax_rate_2026E_Bull. Historical ratio path with gradual normalization; provisional, not management guidance or consensus.</t>
        </r>
      </text>
    </comment>
    <comment ref="D81" authorId="0" shapeId="0" xr:uid="{00000000-0006-0000-0100-0000BB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tax_rate; ../../references/source_policy.md; source_id=assump_tax_rate_2027E_Bear. Historical ratio path with gradual normalization; provisional, not management guidance or consensus.</t>
        </r>
      </text>
    </comment>
    <comment ref="E81" authorId="0" shapeId="0" xr:uid="{00000000-0006-0000-0100-0000BC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tax_rate; ../../references/source_policy.md; source_id=assump_tax_rate_2027E_Base. Historical ratio path with gradual normalization; provisional, not management guidance or consensus.</t>
        </r>
      </text>
    </comment>
    <comment ref="F81" authorId="0" shapeId="0" xr:uid="{00000000-0006-0000-0100-0000BD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tax_rate; ../../references/source_policy.md; source_id=assump_tax_rate_2027E_Bull. Historical ratio path with gradual normalization; provisional, not management guidance or consensus.</t>
        </r>
      </text>
    </comment>
    <comment ref="D82" authorId="0" shapeId="0" xr:uid="{00000000-0006-0000-0100-0000BE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tax_rate; ../../references/source_policy.md; source_id=assump_tax_rate_2028E_Bear. Historical ratio path with gradual normalization; provisional, not management guidance or consensus.</t>
        </r>
      </text>
    </comment>
    <comment ref="E82" authorId="0" shapeId="0" xr:uid="{00000000-0006-0000-0100-0000BF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tax_rate; ../../references/source_policy.md; source_id=assump_tax_rate_2028E_Base. Historical ratio path with gradual normalization; provisional, not management guidance or consensus.</t>
        </r>
      </text>
    </comment>
    <comment ref="F82" authorId="0" shapeId="0" xr:uid="{00000000-0006-0000-0100-0000C0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tax_rate; ../../references/source_policy.md; source_id=assump_tax_rate_2028E_Bull. Historical ratio path with gradual normalization; provisional, not management guidance or consensus.</t>
        </r>
      </text>
    </comment>
    <comment ref="D83" authorId="0" shapeId="0" xr:uid="{00000000-0006-0000-0100-0000C1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tax_rate; ../../references/source_policy.md; source_id=assump_tax_rate_2029E_Bear. Historical ratio path with gradual normalization; provisional, not management guidance or consensus.</t>
        </r>
      </text>
    </comment>
    <comment ref="E83" authorId="0" shapeId="0" xr:uid="{00000000-0006-0000-0100-0000C2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tax_rate; ../../references/source_policy.md; source_id=assump_tax_rate_2029E_Base. Historical ratio path with gradual normalization; provisional, not management guidance or consensus.</t>
        </r>
      </text>
    </comment>
    <comment ref="F83" authorId="0" shapeId="0" xr:uid="{00000000-0006-0000-0100-0000C3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tax_rate; ../../references/source_policy.md; source_id=assump_tax_rate_2029E_Bull. Historical ratio path with gradual normalization; provisional, not management guidance or consensus.</t>
        </r>
      </text>
    </comment>
    <comment ref="D84" authorId="0" shapeId="0" xr:uid="{00000000-0006-0000-0100-0000C4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tax_rate; ../../references/source_policy.md; source_id=assump_tax_rate_2030E_Bear. Historical ratio path with gradual normalization; provisional, not management guidance or consensus.</t>
        </r>
      </text>
    </comment>
    <comment ref="E84" authorId="0" shapeId="0" xr:uid="{00000000-0006-0000-0100-0000C5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tax_rate; ../../references/source_policy.md; source_id=assump_tax_rate_2030E_Base. Historical ratio path with gradual normalization; provisional, not management guidance or consensus.</t>
        </r>
      </text>
    </comment>
    <comment ref="F84" authorId="0" shapeId="0" xr:uid="{00000000-0006-0000-0100-0000C6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tax_rate; ../../references/source_policy.md; source_id=assump_tax_rate_2030E_Bull. Historical ratio path with gradual normalization; provisional, not management guidance or consensus.</t>
        </r>
      </text>
    </comment>
    <comment ref="D85" authorId="0" shapeId="0" xr:uid="{00000000-0006-0000-0100-0000C7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liquid_investments_pct_revenue; ../../references/source_policy.md; source_id=assump_liquid_investments_pct_revenue_2026E_Bear. Historical ratio path with gradual normalization; provisional, not management guidance or consensus.</t>
        </r>
      </text>
    </comment>
    <comment ref="E85" authorId="0" shapeId="0" xr:uid="{00000000-0006-0000-0100-0000C8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liquid_investments_pct_revenue; ../../references/source_policy.md; source_id=assump_liquid_investments_pct_revenue_2026E_Base. Historical ratio path with gradual normalization; provisional, not management guidance or consensus.</t>
        </r>
      </text>
    </comment>
    <comment ref="F85" authorId="0" shapeId="0" xr:uid="{00000000-0006-0000-0100-0000C9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liquid_investments_pct_revenue; ../../references/source_policy.md; source_id=assump_liquid_investments_pct_revenue_2026E_Bull. Historical ratio path with gradual normalization; provisional, not management guidance or consensus.</t>
        </r>
      </text>
    </comment>
    <comment ref="D86" authorId="0" shapeId="0" xr:uid="{00000000-0006-0000-0100-0000CA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liquid_investments_pct_revenue; ../../references/source_policy.md; source_id=assump_liquid_investments_pct_revenue_2027E_Bear. Historical ratio path with gradual normalization; provisional, not management guidance or consensus.</t>
        </r>
      </text>
    </comment>
    <comment ref="E86" authorId="0" shapeId="0" xr:uid="{00000000-0006-0000-0100-0000CB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liquid_investments_pct_revenue; ../../references/source_policy.md; source_id=assump_liquid_investments_pct_revenue_2027E_Base. Historical ratio path with gradual normalization; provisional, not management guidance or consensus.</t>
        </r>
      </text>
    </comment>
    <comment ref="F86" authorId="0" shapeId="0" xr:uid="{00000000-0006-0000-0100-0000CC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liquid_investments_pct_revenue; ../../references/source_policy.md; source_id=assump_liquid_investments_pct_revenue_2027E_Bull. Historical ratio path with gradual normalization; provisional, not management guidance or consensus.</t>
        </r>
      </text>
    </comment>
    <comment ref="D87" authorId="0" shapeId="0" xr:uid="{00000000-0006-0000-0100-0000CD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liquid_investments_pct_revenue; ../../references/source_policy.md; source_id=assump_liquid_investments_pct_revenue_2028E_Bear. Historical ratio path with gradual normalization; provisional, not management guidance or consensus.</t>
        </r>
      </text>
    </comment>
    <comment ref="E87" authorId="0" shapeId="0" xr:uid="{00000000-0006-0000-0100-0000CE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liquid_investments_pct_revenue; ../../references/source_policy.md; source_id=assump_liquid_investments_pct_revenue_2028E_Base. Historical ratio path with gradual normalization; provisional, not management guidance or consensus.</t>
        </r>
      </text>
    </comment>
    <comment ref="F87" authorId="0" shapeId="0" xr:uid="{00000000-0006-0000-0100-0000CF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liquid_investments_pct_revenue; ../../references/source_policy.md; source_id=assump_liquid_investments_pct_revenue_2028E_Bull. Historical ratio path with gradual normalization; provisional, not management guidance or consensus.</t>
        </r>
      </text>
    </comment>
    <comment ref="D88" authorId="0" shapeId="0" xr:uid="{00000000-0006-0000-0100-0000D0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liquid_investments_pct_revenue; ../../references/source_policy.md; source_id=assump_liquid_investments_pct_revenue_2029E_Bear. Historical ratio path with gradual normalization; provisional, not management guidance or consensus.</t>
        </r>
      </text>
    </comment>
    <comment ref="E88" authorId="0" shapeId="0" xr:uid="{00000000-0006-0000-0100-0000D1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liquid_investments_pct_revenue; ../../references/source_policy.md; source_id=assump_liquid_investments_pct_revenue_2029E_Base. Historical ratio path with gradual normalization; provisional, not management guidance or consensus.</t>
        </r>
      </text>
    </comment>
    <comment ref="F88" authorId="0" shapeId="0" xr:uid="{00000000-0006-0000-0100-0000D2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liquid_investments_pct_revenue; ../../references/source_policy.md; source_id=assump_liquid_investments_pct_revenue_2029E_Bull. Historical ratio path with gradual normalization; provisional, not management guidance or consensus.</t>
        </r>
      </text>
    </comment>
    <comment ref="D89" authorId="0" shapeId="0" xr:uid="{00000000-0006-0000-0100-0000D3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liquid_investments_pct_revenue; ../../references/source_policy.md; source_id=assump_liquid_investments_pct_revenue_2030E_Bear. Historical ratio path with gradual normalization; provisional, not management guidance or consensus.</t>
        </r>
      </text>
    </comment>
    <comment ref="E89" authorId="0" shapeId="0" xr:uid="{00000000-0006-0000-0100-0000D4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liquid_investments_pct_revenue; ../../references/source_policy.md; source_id=assump_liquid_investments_pct_revenue_2030E_Base. Historical ratio path with gradual normalization; provisional, not management guidance or consensus.</t>
        </r>
      </text>
    </comment>
    <comment ref="F89" authorId="0" shapeId="0" xr:uid="{00000000-0006-0000-0100-0000D5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liquid_investments_pct_revenue; ../../references/source_policy.md; source_id=assump_liquid_investments_pct_revenue_2030E_Bull. Historical ratio path with gradual normalization; provisional, not management guidance or consensus.</t>
        </r>
      </text>
    </comment>
    <comment ref="D90" authorId="0" shapeId="0" xr:uid="{00000000-0006-0000-0100-0000D6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operating_current_assets_pct_revenue; ../../references/source_policy.md; source_id=assump_operating_current_assets_pct_revenue_2026E_Bear. Historical ratio path with gradual normalization; provisional, not management guidance or consensus.</t>
        </r>
      </text>
    </comment>
    <comment ref="E90" authorId="0" shapeId="0" xr:uid="{00000000-0006-0000-0100-0000D7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operating_current_assets_pct_revenue; ../../references/source_policy.md; source_id=assump_operating_current_assets_pct_revenue_2026E_Base. Historical ratio path with gradual normalization; provisional, not management guidance or consensus.</t>
        </r>
      </text>
    </comment>
    <comment ref="F90" authorId="0" shapeId="0" xr:uid="{00000000-0006-0000-0100-0000D8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operating_current_assets_pct_revenue; ../../references/source_policy.md; source_id=assump_operating_current_assets_pct_revenue_2026E_Bull. Historical ratio path with gradual normalization; provisional, not management guidance or consensus.</t>
        </r>
      </text>
    </comment>
    <comment ref="D91" authorId="0" shapeId="0" xr:uid="{00000000-0006-0000-0100-0000D9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operating_current_assets_pct_revenue; ../../references/source_policy.md; source_id=assump_operating_current_assets_pct_revenue_2027E_Bear. Historical ratio path with gradual normalization; provisional, not management guidance or consensus.</t>
        </r>
      </text>
    </comment>
    <comment ref="E91" authorId="0" shapeId="0" xr:uid="{00000000-0006-0000-0100-0000DA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operating_current_assets_pct_revenue; ../../references/source_policy.md; source_id=assump_operating_current_assets_pct_revenue_2027E_Base. Historical ratio path with gradual normalization; provisional, not management guidance or consensus.</t>
        </r>
      </text>
    </comment>
    <comment ref="F91" authorId="0" shapeId="0" xr:uid="{00000000-0006-0000-0100-0000DB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operating_current_assets_pct_revenue; ../../references/source_policy.md; source_id=assump_operating_current_assets_pct_revenue_2027E_Bull. Historical ratio path with gradual normalization; provisional, not management guidance or consensus.</t>
        </r>
      </text>
    </comment>
    <comment ref="D92" authorId="0" shapeId="0" xr:uid="{00000000-0006-0000-0100-0000DC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operating_current_assets_pct_revenue; ../../references/source_policy.md; source_id=assump_operating_current_assets_pct_revenue_2028E_Bear. Historical ratio path with gradual normalization; provisional, not management guidance or consensus.</t>
        </r>
      </text>
    </comment>
    <comment ref="E92" authorId="0" shapeId="0" xr:uid="{00000000-0006-0000-0100-0000DD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operating_current_assets_pct_revenue; ../../references/source_policy.md; source_id=assump_operating_current_assets_pct_revenue_2028E_Base. Historical ratio path with gradual normalization; provisional, not management guidance or consensus.</t>
        </r>
      </text>
    </comment>
    <comment ref="F92" authorId="0" shapeId="0" xr:uid="{00000000-0006-0000-0100-0000DE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operating_current_assets_pct_revenue; ../../references/source_policy.md; source_id=assump_operating_current_assets_pct_revenue_2028E_Bull. Historical ratio path with gradual normalization; provisional, not management guidance or consensus.</t>
        </r>
      </text>
    </comment>
    <comment ref="D93" authorId="0" shapeId="0" xr:uid="{00000000-0006-0000-0100-0000DF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operating_current_assets_pct_revenue; ../../references/source_policy.md; source_id=assump_operating_current_assets_pct_revenue_2029E_Bear. Historical ratio path with gradual normalization; provisional, not management guidance or consensus.</t>
        </r>
      </text>
    </comment>
    <comment ref="E93" authorId="0" shapeId="0" xr:uid="{00000000-0006-0000-0100-0000E0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operating_current_assets_pct_revenue; ../../references/source_policy.md; source_id=assump_operating_current_assets_pct_revenue_2029E_Base. Historical ratio path with gradual normalization; provisional, not management guidance or consensus.</t>
        </r>
      </text>
    </comment>
    <comment ref="F93" authorId="0" shapeId="0" xr:uid="{00000000-0006-0000-0100-0000E1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operating_current_assets_pct_revenue; ../../references/source_policy.md; source_id=assump_operating_current_assets_pct_revenue_2029E_Bull. Historical ratio path with gradual normalization; provisional, not management guidance or consensus.</t>
        </r>
      </text>
    </comment>
    <comment ref="D94" authorId="0" shapeId="0" xr:uid="{00000000-0006-0000-0100-0000E2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operating_current_assets_pct_revenue; ../../references/source_policy.md; source_id=assump_operating_current_assets_pct_revenue_2030E_Bear. Historical ratio path with gradual normalization; provisional, not management guidance or consensus.</t>
        </r>
      </text>
    </comment>
    <comment ref="E94" authorId="0" shapeId="0" xr:uid="{00000000-0006-0000-0100-0000E3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operating_current_assets_pct_revenue; ../../references/source_policy.md; source_id=assump_operating_current_assets_pct_revenue_2030E_Base. Historical ratio path with gradual normalization; provisional, not management guidance or consensus.</t>
        </r>
      </text>
    </comment>
    <comment ref="F94" authorId="0" shapeId="0" xr:uid="{00000000-0006-0000-0100-0000E4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operating_current_assets_pct_revenue; ../../references/source_policy.md; source_id=assump_operating_current_assets_pct_revenue_2030E_Bull. Historical ratio path with gradual normalization; provisional, not management guidance or consensus.</t>
        </r>
      </text>
    </comment>
    <comment ref="D95" authorId="0" shapeId="0" xr:uid="{00000000-0006-0000-0100-0000E5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rou_assets_pct_revenue; ../../references/source_policy.md; source_id=assump_rou_assets_pct_revenue_2026E_Bear. Historical ratio path with gradual normalization; provisional, not management guidance or consensus.</t>
        </r>
      </text>
    </comment>
    <comment ref="E95" authorId="0" shapeId="0" xr:uid="{00000000-0006-0000-0100-0000E6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rou_assets_pct_revenue; ../../references/source_policy.md; source_id=assump_rou_assets_pct_revenue_2026E_Base. Historical ratio path with gradual normalization; provisional, not management guidance or consensus.</t>
        </r>
      </text>
    </comment>
    <comment ref="F95" authorId="0" shapeId="0" xr:uid="{00000000-0006-0000-0100-0000E7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rou_assets_pct_revenue; ../../references/source_policy.md; source_id=assump_rou_assets_pct_revenue_2026E_Bull. Historical ratio path with gradual normalization; provisional, not management guidance or consensus.</t>
        </r>
      </text>
    </comment>
    <comment ref="D96" authorId="0" shapeId="0" xr:uid="{00000000-0006-0000-0100-0000E8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rou_assets_pct_revenue; ../../references/source_policy.md; source_id=assump_rou_assets_pct_revenue_2027E_Bear. Historical ratio path with gradual normalization; provisional, not management guidance or consensus.</t>
        </r>
      </text>
    </comment>
    <comment ref="E96" authorId="0" shapeId="0" xr:uid="{00000000-0006-0000-0100-0000E9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rou_assets_pct_revenue; ../../references/source_policy.md; source_id=assump_rou_assets_pct_revenue_2027E_Base. Historical ratio path with gradual normalization; provisional, not management guidance or consensus.</t>
        </r>
      </text>
    </comment>
    <comment ref="F96" authorId="0" shapeId="0" xr:uid="{00000000-0006-0000-0100-0000EA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rou_assets_pct_revenue; ../../references/source_policy.md; source_id=assump_rou_assets_pct_revenue_2027E_Bull. Historical ratio path with gradual normalization; provisional, not management guidance or consensus.</t>
        </r>
      </text>
    </comment>
    <comment ref="D97" authorId="0" shapeId="0" xr:uid="{00000000-0006-0000-0100-0000EB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rou_assets_pct_revenue; ../../references/source_policy.md; source_id=assump_rou_assets_pct_revenue_2028E_Bear. Historical ratio path with gradual normalization; provisional, not management guidance or consensus.</t>
        </r>
      </text>
    </comment>
    <comment ref="E97" authorId="0" shapeId="0" xr:uid="{00000000-0006-0000-0100-0000EC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rou_assets_pct_revenue; ../../references/source_policy.md; source_id=assump_rou_assets_pct_revenue_2028E_Base. Historical ratio path with gradual normalization; provisional, not management guidance or consensus.</t>
        </r>
      </text>
    </comment>
    <comment ref="F97" authorId="0" shapeId="0" xr:uid="{00000000-0006-0000-0100-0000ED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rou_assets_pct_revenue; ../../references/source_policy.md; source_id=assump_rou_assets_pct_revenue_2028E_Bull. Historical ratio path with gradual normalization; provisional, not management guidance or consensus.</t>
        </r>
      </text>
    </comment>
    <comment ref="D98" authorId="0" shapeId="0" xr:uid="{00000000-0006-0000-0100-0000EE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rou_assets_pct_revenue; ../../references/source_policy.md; source_id=assump_rou_assets_pct_revenue_2029E_Bear. Historical ratio path with gradual normalization; provisional, not management guidance or consensus.</t>
        </r>
      </text>
    </comment>
    <comment ref="E98" authorId="0" shapeId="0" xr:uid="{00000000-0006-0000-0100-0000EF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rou_assets_pct_revenue; ../../references/source_policy.md; source_id=assump_rou_assets_pct_revenue_2029E_Base. Historical ratio path with gradual normalization; provisional, not management guidance or consensus.</t>
        </r>
      </text>
    </comment>
    <comment ref="F98" authorId="0" shapeId="0" xr:uid="{00000000-0006-0000-0100-0000F0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rou_assets_pct_revenue; ../../references/source_policy.md; source_id=assump_rou_assets_pct_revenue_2029E_Bull. Historical ratio path with gradual normalization; provisional, not management guidance or consensus.</t>
        </r>
      </text>
    </comment>
    <comment ref="D99" authorId="0" shapeId="0" xr:uid="{00000000-0006-0000-0100-0000F1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rou_assets_pct_revenue; ../../references/source_policy.md; source_id=assump_rou_assets_pct_revenue_2030E_Bear. Historical ratio path with gradual normalization; provisional, not management guidance or consensus.</t>
        </r>
      </text>
    </comment>
    <comment ref="E99" authorId="0" shapeId="0" xr:uid="{00000000-0006-0000-0100-0000F2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rou_assets_pct_revenue; ../../references/source_policy.md; source_id=assump_rou_assets_pct_revenue_2030E_Base. Historical ratio path with gradual normalization; provisional, not management guidance or consensus.</t>
        </r>
      </text>
    </comment>
    <comment ref="F99" authorId="0" shapeId="0" xr:uid="{00000000-0006-0000-0100-0000F300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rou_assets_pct_revenue; ../../references/source_policy.md; source_id=assump_rou_assets_pct_revenue_2030E_Bull. Historical ratio path with gradual normalization; provisional, not management guidance or consensus.</t>
        </r>
      </text>
    </comment>
    <comment ref="D100" authorId="0" shapeId="0" xr:uid="{00000000-0006-0000-0100-0000F4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other_noncurrent_assets_pct_revenue; ../../references/source_policy.md; source_id=assump_other_noncurrent_assets_pct_revenue_2026E_Bear. Historical ratio path with gradual normalization; provisional, not management guidance or consensus.</t>
        </r>
      </text>
    </comment>
    <comment ref="E100" authorId="0" shapeId="0" xr:uid="{00000000-0006-0000-0100-0000F5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other_noncurrent_assets_pct_revenue; ../../references/source_policy.md; source_id=assump_other_noncurrent_assets_pct_revenue_2026E_Base. Historical ratio path with gradual normalization; provisional, not management guidance or consensus.</t>
        </r>
      </text>
    </comment>
    <comment ref="F100" authorId="0" shapeId="0" xr:uid="{00000000-0006-0000-0100-0000F600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other_noncurrent_assets_pct_revenue; ../../references/source_policy.md; source_id=assump_other_noncurrent_assets_pct_revenue_2026E_Bull. Historical ratio path with gradual normalization; provisional, not management guidance or consensus.</t>
        </r>
      </text>
    </comment>
    <comment ref="D101" authorId="0" shapeId="0" xr:uid="{00000000-0006-0000-0100-0000F7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other_noncurrent_assets_pct_revenue; ../../references/source_policy.md; source_id=assump_other_noncurrent_assets_pct_revenue_2027E_Bear. Historical ratio path with gradual normalization; provisional, not management guidance or consensus.</t>
        </r>
      </text>
    </comment>
    <comment ref="E101" authorId="0" shapeId="0" xr:uid="{00000000-0006-0000-0100-0000F8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other_noncurrent_assets_pct_revenue; ../../references/source_policy.md; source_id=assump_other_noncurrent_assets_pct_revenue_2027E_Base. Historical ratio path with gradual normalization; provisional, not management guidance or consensus.</t>
        </r>
      </text>
    </comment>
    <comment ref="F101" authorId="0" shapeId="0" xr:uid="{00000000-0006-0000-0100-0000F900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other_noncurrent_assets_pct_revenue; ../../references/source_policy.md; source_id=assump_other_noncurrent_assets_pct_revenue_2027E_Bull. Historical ratio path with gradual normalization; provisional, not management guidance or consensus.</t>
        </r>
      </text>
    </comment>
    <comment ref="D102" authorId="0" shapeId="0" xr:uid="{00000000-0006-0000-0100-0000FA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other_noncurrent_assets_pct_revenue; ../../references/source_policy.md; source_id=assump_other_noncurrent_assets_pct_revenue_2028E_Bear. Historical ratio path with gradual normalization; provisional, not management guidance or consensus.</t>
        </r>
      </text>
    </comment>
    <comment ref="E102" authorId="0" shapeId="0" xr:uid="{00000000-0006-0000-0100-0000FB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other_noncurrent_assets_pct_revenue; ../../references/source_policy.md; source_id=assump_other_noncurrent_assets_pct_revenue_2028E_Base. Historical ratio path with gradual normalization; provisional, not management guidance or consensus.</t>
        </r>
      </text>
    </comment>
    <comment ref="F102" authorId="0" shapeId="0" xr:uid="{00000000-0006-0000-0100-0000FC00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other_noncurrent_assets_pct_revenue; ../../references/source_policy.md; source_id=assump_other_noncurrent_assets_pct_revenue_2028E_Bull. Historical ratio path with gradual normalization; provisional, not management guidance or consensus.</t>
        </r>
      </text>
    </comment>
    <comment ref="D103" authorId="0" shapeId="0" xr:uid="{00000000-0006-0000-0100-0000FD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other_noncurrent_assets_pct_revenue; ../../references/source_policy.md; source_id=assump_other_noncurrent_assets_pct_revenue_2029E_Bear. Historical ratio path with gradual normalization; provisional, not management guidance or consensus.</t>
        </r>
      </text>
    </comment>
    <comment ref="E103" authorId="0" shapeId="0" xr:uid="{00000000-0006-0000-0100-0000FE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other_noncurrent_assets_pct_revenue; ../../references/source_policy.md; source_id=assump_other_noncurrent_assets_pct_revenue_2029E_Base. Historical ratio path with gradual normalization; provisional, not management guidance or consensus.</t>
        </r>
      </text>
    </comment>
    <comment ref="F103" authorId="0" shapeId="0" xr:uid="{00000000-0006-0000-0100-0000FF00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other_noncurrent_assets_pct_revenue; ../../references/source_policy.md; source_id=assump_other_noncurrent_assets_pct_revenue_2029E_Bull. Historical ratio path with gradual normalization; provisional, not management guidance or consensus.</t>
        </r>
      </text>
    </comment>
    <comment ref="D104" authorId="0" shapeId="0" xr:uid="{00000000-0006-0000-0100-000000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other_noncurrent_assets_pct_revenue; ../../references/source_policy.md; source_id=assump_other_noncurrent_assets_pct_revenue_2030E_Bear. Historical ratio path with gradual normalization; provisional, not management guidance or consensus.</t>
        </r>
      </text>
    </comment>
    <comment ref="E104" authorId="0" shapeId="0" xr:uid="{00000000-0006-0000-0100-000001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other_noncurrent_assets_pct_revenue; ../../references/source_policy.md; source_id=assump_other_noncurrent_assets_pct_revenue_2030E_Base. Historical ratio path with gradual normalization; provisional, not management guidance or consensus.</t>
        </r>
      </text>
    </comment>
    <comment ref="F104" authorId="0" shapeId="0" xr:uid="{00000000-0006-0000-0100-000002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other_noncurrent_assets_pct_revenue; ../../references/source_policy.md; source_id=assump_other_noncurrent_assets_pct_revenue_2030E_Bull. Historical ratio path with gradual normalization; provisional, not management guidance or consensus.</t>
        </r>
      </text>
    </comment>
    <comment ref="D105" authorId="0" shapeId="0" xr:uid="{00000000-0006-0000-0100-00000301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operating_current_liab_pct_revenue; ../../references/source_policy.md; source_id=assump_operating_current_liab_pct_revenue_2026E_Bear. Historical ratio path with gradual normalization; provisional, not management guidance or consensus.</t>
        </r>
      </text>
    </comment>
    <comment ref="E105" authorId="0" shapeId="0" xr:uid="{00000000-0006-0000-0100-00000401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operating_current_liab_pct_revenue; ../../references/source_policy.md; source_id=assump_operating_current_liab_pct_revenue_2026E_Base. Historical ratio path with gradual normalization; provisional, not management guidance or consensus.</t>
        </r>
      </text>
    </comment>
    <comment ref="F105" authorId="0" shapeId="0" xr:uid="{00000000-0006-0000-0100-00000501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operating_current_liab_pct_revenue; ../../references/source_policy.md; source_id=assump_operating_current_liab_pct_revenue_2026E_Bull. Historical ratio path with gradual normalization; provisional, not management guidance or consensus.</t>
        </r>
      </text>
    </comment>
    <comment ref="D106" authorId="0" shapeId="0" xr:uid="{00000000-0006-0000-0100-00000601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operating_current_liab_pct_revenue; ../../references/source_policy.md; source_id=assump_operating_current_liab_pct_revenue_2027E_Bear. Historical ratio path with gradual normalization; provisional, not management guidance or consensus.</t>
        </r>
      </text>
    </comment>
    <comment ref="E106" authorId="0" shapeId="0" xr:uid="{00000000-0006-0000-0100-00000701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operating_current_liab_pct_revenue; ../../references/source_policy.md; source_id=assump_operating_current_liab_pct_revenue_2027E_Base. Historical ratio path with gradual normalization; provisional, not management guidance or consensus.</t>
        </r>
      </text>
    </comment>
    <comment ref="F106" authorId="0" shapeId="0" xr:uid="{00000000-0006-0000-0100-00000801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operating_current_liab_pct_revenue; ../../references/source_policy.md; source_id=assump_operating_current_liab_pct_revenue_2027E_Bull. Historical ratio path with gradual normalization; provisional, not management guidance or consensus.</t>
        </r>
      </text>
    </comment>
    <comment ref="D107" authorId="0" shapeId="0" xr:uid="{00000000-0006-0000-0100-00000901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operating_current_liab_pct_revenue; ../../references/source_policy.md; source_id=assump_operating_current_liab_pct_revenue_2028E_Bear. Historical ratio path with gradual normalization; provisional, not management guidance or consensus.</t>
        </r>
      </text>
    </comment>
    <comment ref="E107" authorId="0" shapeId="0" xr:uid="{00000000-0006-0000-0100-00000A01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operating_current_liab_pct_revenue; ../../references/source_policy.md; source_id=assump_operating_current_liab_pct_revenue_2028E_Base. Historical ratio path with gradual normalization; provisional, not management guidance or consensus.</t>
        </r>
      </text>
    </comment>
    <comment ref="F107" authorId="0" shapeId="0" xr:uid="{00000000-0006-0000-0100-00000B01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operating_current_liab_pct_revenue; ../../references/source_policy.md; source_id=assump_operating_current_liab_pct_revenue_2028E_Bull. Historical ratio path with gradual normalization; provisional, not management guidance or consensus.</t>
        </r>
      </text>
    </comment>
    <comment ref="D108" authorId="0" shapeId="0" xr:uid="{00000000-0006-0000-0100-00000C01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operating_current_liab_pct_revenue; ../../references/source_policy.md; source_id=assump_operating_current_liab_pct_revenue_2029E_Bear. Historical ratio path with gradual normalization; provisional, not management guidance or consensus.</t>
        </r>
      </text>
    </comment>
    <comment ref="E108" authorId="0" shapeId="0" xr:uid="{00000000-0006-0000-0100-00000D01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operating_current_liab_pct_revenue; ../../references/source_policy.md; source_id=assump_operating_current_liab_pct_revenue_2029E_Base. Historical ratio path with gradual normalization; provisional, not management guidance or consensus.</t>
        </r>
      </text>
    </comment>
    <comment ref="F108" authorId="0" shapeId="0" xr:uid="{00000000-0006-0000-0100-00000E01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operating_current_liab_pct_revenue; ../../references/source_policy.md; source_id=assump_operating_current_liab_pct_revenue_2029E_Bull. Historical ratio path with gradual normalization; provisional, not management guidance or consensus.</t>
        </r>
      </text>
    </comment>
    <comment ref="D109" authorId="0" shapeId="0" xr:uid="{00000000-0006-0000-0100-00000F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operating_current_liab_pct_revenue; ../../references/source_policy.md; source_id=assump_operating_current_liab_pct_revenue_2030E_Bear. Historical ratio path with gradual normalization; provisional, not management guidance or consensus.</t>
        </r>
      </text>
    </comment>
    <comment ref="E109" authorId="0" shapeId="0" xr:uid="{00000000-0006-0000-0100-000010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operating_current_liab_pct_revenue; ../../references/source_policy.md; source_id=assump_operating_current_liab_pct_revenue_2030E_Base. Historical ratio path with gradual normalization; provisional, not management guidance or consensus.</t>
        </r>
      </text>
    </comment>
    <comment ref="F109" authorId="0" shapeId="0" xr:uid="{00000000-0006-0000-0100-000011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operating_current_liab_pct_revenue; ../../references/source_policy.md; source_id=assump_operating_current_liab_pct_revenue_2030E_Bull. Historical ratio path with gradual normalization; provisional, not management guidance or consensus.</t>
        </r>
      </text>
    </comment>
    <comment ref="D110" authorId="0" shapeId="0" xr:uid="{00000000-0006-0000-0100-00001201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lease_liab_pct_revenue; ../../references/source_policy.md; source_id=assump_lease_liab_pct_revenue_2026E_Bear. Historical ratio path with gradual normalization; provisional, not management guidance or consensus.</t>
        </r>
      </text>
    </comment>
    <comment ref="E110" authorId="0" shapeId="0" xr:uid="{00000000-0006-0000-0100-00001301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lease_liab_pct_revenue; ../../references/source_policy.md; source_id=assump_lease_liab_pct_revenue_2026E_Base. Historical ratio path with gradual normalization; provisional, not management guidance or consensus.</t>
        </r>
      </text>
    </comment>
    <comment ref="F110" authorId="0" shapeId="0" xr:uid="{00000000-0006-0000-0100-00001401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lease_liab_pct_revenue; ../../references/source_policy.md; source_id=assump_lease_liab_pct_revenue_2026E_Bull. Historical ratio path with gradual normalization; provisional, not management guidance or consensus.</t>
        </r>
      </text>
    </comment>
    <comment ref="D111" authorId="0" shapeId="0" xr:uid="{00000000-0006-0000-0100-00001501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lease_liab_pct_revenue; ../../references/source_policy.md; source_id=assump_lease_liab_pct_revenue_2027E_Bear. Historical ratio path with gradual normalization; provisional, not management guidance or consensus.</t>
        </r>
      </text>
    </comment>
    <comment ref="E111" authorId="0" shapeId="0" xr:uid="{00000000-0006-0000-0100-00001601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lease_liab_pct_revenue; ../../references/source_policy.md; source_id=assump_lease_liab_pct_revenue_2027E_Base. Historical ratio path with gradual normalization; provisional, not management guidance or consensus.</t>
        </r>
      </text>
    </comment>
    <comment ref="F111" authorId="0" shapeId="0" xr:uid="{00000000-0006-0000-0100-00001701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lease_liab_pct_revenue; ../../references/source_policy.md; source_id=assump_lease_liab_pct_revenue_2027E_Bull. Historical ratio path with gradual normalization; provisional, not management guidance or consensus.</t>
        </r>
      </text>
    </comment>
    <comment ref="D112" authorId="0" shapeId="0" xr:uid="{00000000-0006-0000-0100-00001801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lease_liab_pct_revenue; ../../references/source_policy.md; source_id=assump_lease_liab_pct_revenue_2028E_Bear. Historical ratio path with gradual normalization; provisional, not management guidance or consensus.</t>
        </r>
      </text>
    </comment>
    <comment ref="E112" authorId="0" shapeId="0" xr:uid="{00000000-0006-0000-0100-00001901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lease_liab_pct_revenue; ../../references/source_policy.md; source_id=assump_lease_liab_pct_revenue_2028E_Base. Historical ratio path with gradual normalization; provisional, not management guidance or consensus.</t>
        </r>
      </text>
    </comment>
    <comment ref="F112" authorId="0" shapeId="0" xr:uid="{00000000-0006-0000-0100-00001A01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lease_liab_pct_revenue; ../../references/source_policy.md; source_id=assump_lease_liab_pct_revenue_2028E_Bull. Historical ratio path with gradual normalization; provisional, not management guidance or consensus.</t>
        </r>
      </text>
    </comment>
    <comment ref="D113" authorId="0" shapeId="0" xr:uid="{00000000-0006-0000-0100-00001B01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lease_liab_pct_revenue; ../../references/source_policy.md; source_id=assump_lease_liab_pct_revenue_2029E_Bear. Historical ratio path with gradual normalization; provisional, not management guidance or consensus.</t>
        </r>
      </text>
    </comment>
    <comment ref="E113" authorId="0" shapeId="0" xr:uid="{00000000-0006-0000-0100-00001C01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lease_liab_pct_revenue; ../../references/source_policy.md; source_id=assump_lease_liab_pct_revenue_2029E_Base. Historical ratio path with gradual normalization; provisional, not management guidance or consensus.</t>
        </r>
      </text>
    </comment>
    <comment ref="F113" authorId="0" shapeId="0" xr:uid="{00000000-0006-0000-0100-00001D01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lease_liab_pct_revenue; ../../references/source_policy.md; source_id=assump_lease_liab_pct_revenue_2029E_Bull. Historical ratio path with gradual normalization; provisional, not management guidance or consensus.</t>
        </r>
      </text>
    </comment>
    <comment ref="D114" authorId="0" shapeId="0" xr:uid="{00000000-0006-0000-0100-00001E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lease_liab_pct_revenue; ../../references/source_policy.md; source_id=assump_lease_liab_pct_revenue_2030E_Bear. Historical ratio path with gradual normalization; provisional, not management guidance or consensus.</t>
        </r>
      </text>
    </comment>
    <comment ref="E114" authorId="0" shapeId="0" xr:uid="{00000000-0006-0000-0100-00001F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lease_liab_pct_revenue; ../../references/source_policy.md; source_id=assump_lease_liab_pct_revenue_2030E_Base. Historical ratio path with gradual normalization; provisional, not management guidance or consensus.</t>
        </r>
      </text>
    </comment>
    <comment ref="F114" authorId="0" shapeId="0" xr:uid="{00000000-0006-0000-0100-000020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lease_liab_pct_revenue; ../../references/source_policy.md; source_id=assump_lease_liab_pct_revenue_2030E_Bull. Historical ratio path with gradual normalization; provisional, not management guidance or consensus.</t>
        </r>
      </text>
    </comment>
    <comment ref="D115" authorId="0" shapeId="0" xr:uid="{00000000-0006-0000-0100-00002101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other_noncurrent_liab_pct_revenue; ../../references/source_policy.md; source_id=assump_other_noncurrent_liab_pct_revenue_2026E_Bear. Historical ratio path with gradual normalization; provisional, not management guidance or consensus.</t>
        </r>
      </text>
    </comment>
    <comment ref="E115" authorId="0" shapeId="0" xr:uid="{00000000-0006-0000-0100-00002201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other_noncurrent_liab_pct_revenue; ../../references/source_policy.md; source_id=assump_other_noncurrent_liab_pct_revenue_2026E_Base. Historical ratio path with gradual normalization; provisional, not management guidance or consensus.</t>
        </r>
      </text>
    </comment>
    <comment ref="F115" authorId="0" shapeId="0" xr:uid="{00000000-0006-0000-0100-00002301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other_noncurrent_liab_pct_revenue; ../../references/source_policy.md; source_id=assump_other_noncurrent_liab_pct_revenue_2026E_Bull. Historical ratio path with gradual normalization; provisional, not management guidance or consensus.</t>
        </r>
      </text>
    </comment>
    <comment ref="D116" authorId="0" shapeId="0" xr:uid="{00000000-0006-0000-0100-00002401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other_noncurrent_liab_pct_revenue; ../../references/source_policy.md; source_id=assump_other_noncurrent_liab_pct_revenue_2027E_Bear. Historical ratio path with gradual normalization; provisional, not management guidance or consensus.</t>
        </r>
      </text>
    </comment>
    <comment ref="E116" authorId="0" shapeId="0" xr:uid="{00000000-0006-0000-0100-00002501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other_noncurrent_liab_pct_revenue; ../../references/source_policy.md; source_id=assump_other_noncurrent_liab_pct_revenue_2027E_Base. Historical ratio path with gradual normalization; provisional, not management guidance or consensus.</t>
        </r>
      </text>
    </comment>
    <comment ref="F116" authorId="0" shapeId="0" xr:uid="{00000000-0006-0000-0100-00002601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other_noncurrent_liab_pct_revenue; ../../references/source_policy.md; source_id=assump_other_noncurrent_liab_pct_revenue_2027E_Bull. Historical ratio path with gradual normalization; provisional, not management guidance or consensus.</t>
        </r>
      </text>
    </comment>
    <comment ref="D117" authorId="0" shapeId="0" xr:uid="{00000000-0006-0000-0100-00002701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other_noncurrent_liab_pct_revenue; ../../references/source_policy.md; source_id=assump_other_noncurrent_liab_pct_revenue_2028E_Bear. Historical ratio path with gradual normalization; provisional, not management guidance or consensus.</t>
        </r>
      </text>
    </comment>
    <comment ref="E117" authorId="0" shapeId="0" xr:uid="{00000000-0006-0000-0100-00002801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other_noncurrent_liab_pct_revenue; ../../references/source_policy.md; source_id=assump_other_noncurrent_liab_pct_revenue_2028E_Base. Historical ratio path with gradual normalization; provisional, not management guidance or consensus.</t>
        </r>
      </text>
    </comment>
    <comment ref="F117" authorId="0" shapeId="0" xr:uid="{00000000-0006-0000-0100-00002901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other_noncurrent_liab_pct_revenue; ../../references/source_policy.md; source_id=assump_other_noncurrent_liab_pct_revenue_2028E_Bull. Historical ratio path with gradual normalization; provisional, not management guidance or consensus.</t>
        </r>
      </text>
    </comment>
    <comment ref="D118" authorId="0" shapeId="0" xr:uid="{00000000-0006-0000-0100-00002A01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other_noncurrent_liab_pct_revenue; ../../references/source_policy.md; source_id=assump_other_noncurrent_liab_pct_revenue_2029E_Bear. Historical ratio path with gradual normalization; provisional, not management guidance or consensus.</t>
        </r>
      </text>
    </comment>
    <comment ref="E118" authorId="0" shapeId="0" xr:uid="{00000000-0006-0000-0100-00002B01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other_noncurrent_liab_pct_revenue; ../../references/source_policy.md; source_id=assump_other_noncurrent_liab_pct_revenue_2029E_Base. Historical ratio path with gradual normalization; provisional, not management guidance or consensus.</t>
        </r>
      </text>
    </comment>
    <comment ref="F118" authorId="0" shapeId="0" xr:uid="{00000000-0006-0000-0100-00002C01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other_noncurrent_liab_pct_revenue; ../../references/source_policy.md; source_id=assump_other_noncurrent_liab_pct_revenue_2029E_Bull. Historical ratio path with gradual normalization; provisional, not management guidance or consensus.</t>
        </r>
      </text>
    </comment>
    <comment ref="D119" authorId="0" shapeId="0" xr:uid="{00000000-0006-0000-0100-00002D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other_noncurrent_liab_pct_revenue; ../../references/source_policy.md; source_id=assump_other_noncurrent_liab_pct_revenue_2030E_Bear. Historical ratio path with gradual normalization; provisional, not management guidance or consensus.</t>
        </r>
      </text>
    </comment>
    <comment ref="E119" authorId="0" shapeId="0" xr:uid="{00000000-0006-0000-0100-00002E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other_noncurrent_liab_pct_revenue; ../../references/source_policy.md; source_id=assump_other_noncurrent_liab_pct_revenue_2030E_Base. Historical ratio path with gradual normalization; provisional, not management guidance or consensus.</t>
        </r>
      </text>
    </comment>
    <comment ref="F119" authorId="0" shapeId="0" xr:uid="{00000000-0006-0000-0100-00002F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other_noncurrent_liab_pct_revenue; ../../references/source_policy.md; source_id=assump_other_noncurrent_liab_pct_revenue_2030E_Bull. Historical ratio path with gradual normalization; provisional, not management guidance or consensus.</t>
        </r>
      </text>
    </comment>
    <comment ref="D120" authorId="0" shapeId="0" xr:uid="{00000000-0006-0000-0100-00003001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capex_pct_revenue; ../../references/source_policy.md; source_id=assump_capex_pct_revenue_2026E_Bear. Historical ratio path with gradual normalization; provisional, not management guidance or consensus.</t>
        </r>
      </text>
    </comment>
    <comment ref="E120" authorId="0" shapeId="0" xr:uid="{00000000-0006-0000-0100-00003101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capex_pct_revenue; ../../references/source_policy.md; source_id=assump_capex_pct_revenue_2026E_Base. Historical ratio path with gradual normalization; provisional, not management guidance or consensus.</t>
        </r>
      </text>
    </comment>
    <comment ref="F120" authorId="0" shapeId="0" xr:uid="{00000000-0006-0000-0100-00003201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capex_pct_revenue; ../../references/source_policy.md; source_id=assump_capex_pct_revenue_2026E_Bull. Historical ratio path with gradual normalization; provisional, not management guidance or consensus.</t>
        </r>
      </text>
    </comment>
    <comment ref="D121" authorId="0" shapeId="0" xr:uid="{00000000-0006-0000-0100-00003301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capex_pct_revenue; ../../references/source_policy.md; source_id=assump_capex_pct_revenue_2027E_Bear. Historical ratio path with gradual normalization; provisional, not management guidance or consensus.</t>
        </r>
      </text>
    </comment>
    <comment ref="E121" authorId="0" shapeId="0" xr:uid="{00000000-0006-0000-0100-00003401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capex_pct_revenue; ../../references/source_policy.md; source_id=assump_capex_pct_revenue_2027E_Base. Historical ratio path with gradual normalization; provisional, not management guidance or consensus.</t>
        </r>
      </text>
    </comment>
    <comment ref="F121" authorId="0" shapeId="0" xr:uid="{00000000-0006-0000-0100-00003501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capex_pct_revenue; ../../references/source_policy.md; source_id=assump_capex_pct_revenue_2027E_Bull. Historical ratio path with gradual normalization; provisional, not management guidance or consensus.</t>
        </r>
      </text>
    </comment>
    <comment ref="D122" authorId="0" shapeId="0" xr:uid="{00000000-0006-0000-0100-00003601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capex_pct_revenue; ../../references/source_policy.md; source_id=assump_capex_pct_revenue_2028E_Bear. Historical ratio path with gradual normalization; provisional, not management guidance or consensus.</t>
        </r>
      </text>
    </comment>
    <comment ref="E122" authorId="0" shapeId="0" xr:uid="{00000000-0006-0000-0100-00003701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capex_pct_revenue; ../../references/source_policy.md; source_id=assump_capex_pct_revenue_2028E_Base. Historical ratio path with gradual normalization; provisional, not management guidance or consensus.</t>
        </r>
      </text>
    </comment>
    <comment ref="F122" authorId="0" shapeId="0" xr:uid="{00000000-0006-0000-0100-00003801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capex_pct_revenue; ../../references/source_policy.md; source_id=assump_capex_pct_revenue_2028E_Bull. Historical ratio path with gradual normalization; provisional, not management guidance or consensus.</t>
        </r>
      </text>
    </comment>
    <comment ref="D123" authorId="0" shapeId="0" xr:uid="{00000000-0006-0000-0100-00003901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capex_pct_revenue; ../../references/source_policy.md; source_id=assump_capex_pct_revenue_2029E_Bear. Historical ratio path with gradual normalization; provisional, not management guidance or consensus.</t>
        </r>
      </text>
    </comment>
    <comment ref="E123" authorId="0" shapeId="0" xr:uid="{00000000-0006-0000-0100-00003A01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capex_pct_revenue; ../../references/source_policy.md; source_id=assump_capex_pct_revenue_2029E_Base. Historical ratio path with gradual normalization; provisional, not management guidance or consensus.</t>
        </r>
      </text>
    </comment>
    <comment ref="F123" authorId="0" shapeId="0" xr:uid="{00000000-0006-0000-0100-00003B01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capex_pct_revenue; ../../references/source_policy.md; source_id=assump_capex_pct_revenue_2029E_Bull. Historical ratio path with gradual normalization; provisional, not management guidance or consensus.</t>
        </r>
      </text>
    </comment>
    <comment ref="D124" authorId="0" shapeId="0" xr:uid="{00000000-0006-0000-0100-00003C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capex_pct_revenue; ../../references/source_policy.md; source_id=assump_capex_pct_revenue_2030E_Bear. Historical ratio path with gradual normalization; provisional, not management guidance or consensus.</t>
        </r>
      </text>
    </comment>
    <comment ref="E124" authorId="0" shapeId="0" xr:uid="{00000000-0006-0000-0100-00003D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capex_pct_revenue; ../../references/source_policy.md; source_id=assump_capex_pct_revenue_2030E_Base. Historical ratio path with gradual normalization; provisional, not management guidance or consensus.</t>
        </r>
      </text>
    </comment>
    <comment ref="F124" authorId="0" shapeId="0" xr:uid="{00000000-0006-0000-0100-00003E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capex_pct_revenue; ../../references/source_policy.md; source_id=assump_capex_pct_revenue_2030E_Bull. Historical ratio path with gradual normalization; provisional, not management guidance or consensus.</t>
        </r>
      </text>
    </comment>
    <comment ref="D125" authorId="0" shapeId="0" xr:uid="{00000000-0006-0000-0100-00003F01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fx_effect_pct_begin_cash; ../../references/source_policy.md; source_id=assump_fx_effect_pct_begin_cash_2026E_Bear. Forecast FX cash effect held at zero; explicit simplification.</t>
        </r>
      </text>
    </comment>
    <comment ref="E125" authorId="0" shapeId="0" xr:uid="{00000000-0006-0000-0100-00004001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fx_effect_pct_begin_cash; ../../references/source_policy.md; source_id=assump_fx_effect_pct_begin_cash_2026E_Base. Forecast FX cash effect held at zero; explicit simplification.</t>
        </r>
      </text>
    </comment>
    <comment ref="F125" authorId="0" shapeId="0" xr:uid="{00000000-0006-0000-0100-00004101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fx_effect_pct_begin_cash; ../../references/source_policy.md; source_id=assump_fx_effect_pct_begin_cash_2026E_Bull. Forecast FX cash effect held at zero; explicit simplification.</t>
        </r>
      </text>
    </comment>
    <comment ref="D126" authorId="0" shapeId="0" xr:uid="{00000000-0006-0000-0100-00004201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fx_effect_pct_begin_cash; ../../references/source_policy.md; source_id=assump_fx_effect_pct_begin_cash_2027E_Bear. Forecast FX cash effect held at zero; explicit simplification.</t>
        </r>
      </text>
    </comment>
    <comment ref="E126" authorId="0" shapeId="0" xr:uid="{00000000-0006-0000-0100-00004301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fx_effect_pct_begin_cash; ../../references/source_policy.md; source_id=assump_fx_effect_pct_begin_cash_2027E_Base. Forecast FX cash effect held at zero; explicit simplification.</t>
        </r>
      </text>
    </comment>
    <comment ref="F126" authorId="0" shapeId="0" xr:uid="{00000000-0006-0000-0100-00004401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fx_effect_pct_begin_cash; ../../references/source_policy.md; source_id=assump_fx_effect_pct_begin_cash_2027E_Bull. Forecast FX cash effect held at zero; explicit simplification.</t>
        </r>
      </text>
    </comment>
    <comment ref="D127" authorId="0" shapeId="0" xr:uid="{00000000-0006-0000-0100-00004501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fx_effect_pct_begin_cash; ../../references/source_policy.md; source_id=assump_fx_effect_pct_begin_cash_2028E_Bear. Forecast FX cash effect held at zero; explicit simplification.</t>
        </r>
      </text>
    </comment>
    <comment ref="E127" authorId="0" shapeId="0" xr:uid="{00000000-0006-0000-0100-00004601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fx_effect_pct_begin_cash; ../../references/source_policy.md; source_id=assump_fx_effect_pct_begin_cash_2028E_Base. Forecast FX cash effect held at zero; explicit simplification.</t>
        </r>
      </text>
    </comment>
    <comment ref="F127" authorId="0" shapeId="0" xr:uid="{00000000-0006-0000-0100-00004701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fx_effect_pct_begin_cash; ../../references/source_policy.md; source_id=assump_fx_effect_pct_begin_cash_2028E_Bull. Forecast FX cash effect held at zero; explicit simplification.</t>
        </r>
      </text>
    </comment>
    <comment ref="D128" authorId="0" shapeId="0" xr:uid="{00000000-0006-0000-0100-00004801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fx_effect_pct_begin_cash; ../../references/source_policy.md; source_id=assump_fx_effect_pct_begin_cash_2029E_Bear. Forecast FX cash effect held at zero; explicit simplification.</t>
        </r>
      </text>
    </comment>
    <comment ref="E128" authorId="0" shapeId="0" xr:uid="{00000000-0006-0000-0100-00004901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fx_effect_pct_begin_cash; ../../references/source_policy.md; source_id=assump_fx_effect_pct_begin_cash_2029E_Base. Forecast FX cash effect held at zero; explicit simplification.</t>
        </r>
      </text>
    </comment>
    <comment ref="F128" authorId="0" shapeId="0" xr:uid="{00000000-0006-0000-0100-00004A01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fx_effect_pct_begin_cash; ../../references/source_policy.md; source_id=assump_fx_effect_pct_begin_cash_2029E_Bull. Forecast FX cash effect held at zero; explicit simplification.</t>
        </r>
      </text>
    </comment>
    <comment ref="D129" authorId="0" shapeId="0" xr:uid="{00000000-0006-0000-0100-00004B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fx_effect_pct_begin_cash; ../../references/source_policy.md; source_id=assump_fx_effect_pct_begin_cash_2030E_Bear. Forecast FX cash effect held at zero; explicit simplification.</t>
        </r>
      </text>
    </comment>
    <comment ref="E129" authorId="0" shapeId="0" xr:uid="{00000000-0006-0000-0100-00004C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fx_effect_pct_begin_cash; ../../references/source_policy.md; source_id=assump_fx_effect_pct_begin_cash_2030E_Base. Forecast FX cash effect held at zero; explicit simplification.</t>
        </r>
      </text>
    </comment>
    <comment ref="F129" authorId="0" shapeId="0" xr:uid="{00000000-0006-0000-0100-00004D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fx_effect_pct_begin_cash; ../../references/source_policy.md; source_id=assump_fx_effect_pct_begin_cash_2030E_Bull. Forecast FX cash effect held at zero; explicit simplification.</t>
        </r>
      </text>
    </comment>
    <comment ref="D130" authorId="0" shapeId="0" xr:uid="{00000000-0006-0000-0100-00004E01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discount_period; ../../references/source_policy.md; source_id=assump_discount_period_2026E_Bear. Standard five-year mid-year DCF convention.</t>
        </r>
      </text>
    </comment>
    <comment ref="E130" authorId="0" shapeId="0" xr:uid="{00000000-0006-0000-0100-00004F01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discount_period; ../../references/source_policy.md; source_id=assump_discount_period_2026E_Base. Standard five-year mid-year DCF convention.</t>
        </r>
      </text>
    </comment>
    <comment ref="F130" authorId="0" shapeId="0" xr:uid="{00000000-0006-0000-0100-000050010000}">
      <text>
        <r>
          <rPr>
            <sz val="11"/>
            <color theme="1"/>
            <rFont val="Calibri"/>
            <family val="2"/>
            <scheme val="minor"/>
          </rPr>
          <t>Source: Model policy, 2026E, table Forecast fallback policy, row discount_period; ../../references/source_policy.md; source_id=assump_discount_period_2026E_Bull. Standard five-year mid-year DCF convention.</t>
        </r>
      </text>
    </comment>
    <comment ref="D131" authorId="0" shapeId="0" xr:uid="{00000000-0006-0000-0100-00005101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discount_period; ../../references/source_policy.md; source_id=assump_discount_period_2027E_Bear. Standard five-year mid-year DCF convention.</t>
        </r>
      </text>
    </comment>
    <comment ref="E131" authorId="0" shapeId="0" xr:uid="{00000000-0006-0000-0100-00005201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discount_period; ../../references/source_policy.md; source_id=assump_discount_period_2027E_Base. Standard five-year mid-year DCF convention.</t>
        </r>
      </text>
    </comment>
    <comment ref="F131" authorId="0" shapeId="0" xr:uid="{00000000-0006-0000-0100-000053010000}">
      <text>
        <r>
          <rPr>
            <sz val="11"/>
            <color theme="1"/>
            <rFont val="Calibri"/>
            <family val="2"/>
            <scheme val="minor"/>
          </rPr>
          <t>Source: Model policy, 2027E, table Forecast fallback policy, row discount_period; ../../references/source_policy.md; source_id=assump_discount_period_2027E_Bull. Standard five-year mid-year DCF convention.</t>
        </r>
      </text>
    </comment>
    <comment ref="D132" authorId="0" shapeId="0" xr:uid="{00000000-0006-0000-0100-00005401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discount_period; ../../references/source_policy.md; source_id=assump_discount_period_2028E_Bear. Standard five-year mid-year DCF convention.</t>
        </r>
      </text>
    </comment>
    <comment ref="E132" authorId="0" shapeId="0" xr:uid="{00000000-0006-0000-0100-00005501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discount_period; ../../references/source_policy.md; source_id=assump_discount_period_2028E_Base. Standard five-year mid-year DCF convention.</t>
        </r>
      </text>
    </comment>
    <comment ref="F132" authorId="0" shapeId="0" xr:uid="{00000000-0006-0000-0100-000056010000}">
      <text>
        <r>
          <rPr>
            <sz val="11"/>
            <color theme="1"/>
            <rFont val="Calibri"/>
            <family val="2"/>
            <scheme val="minor"/>
          </rPr>
          <t>Source: Model policy, 2028E, table Forecast fallback policy, row discount_period; ../../references/source_policy.md; source_id=assump_discount_period_2028E_Bull. Standard five-year mid-year DCF convention.</t>
        </r>
      </text>
    </comment>
    <comment ref="D133" authorId="0" shapeId="0" xr:uid="{00000000-0006-0000-0100-00005701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discount_period; ../../references/source_policy.md; source_id=assump_discount_period_2029E_Bear. Standard five-year mid-year DCF convention.</t>
        </r>
      </text>
    </comment>
    <comment ref="E133" authorId="0" shapeId="0" xr:uid="{00000000-0006-0000-0100-00005801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discount_period; ../../references/source_policy.md; source_id=assump_discount_period_2029E_Base. Standard five-year mid-year DCF convention.</t>
        </r>
      </text>
    </comment>
    <comment ref="F133" authorId="0" shapeId="0" xr:uid="{00000000-0006-0000-0100-000059010000}">
      <text>
        <r>
          <rPr>
            <sz val="11"/>
            <color theme="1"/>
            <rFont val="Calibri"/>
            <family val="2"/>
            <scheme val="minor"/>
          </rPr>
          <t>Source: Model policy, 2029E, table Forecast fallback policy, row discount_period; ../../references/source_policy.md; source_id=assump_discount_period_2029E_Bull. Standard five-year mid-year DCF convention.</t>
        </r>
      </text>
    </comment>
    <comment ref="D134" authorId="0" shapeId="0" xr:uid="{00000000-0006-0000-0100-00005A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discount_period; ../../references/source_policy.md; source_id=assump_discount_period_2030E_Bear. Standard five-year mid-year DCF convention.</t>
        </r>
      </text>
    </comment>
    <comment ref="E134" authorId="0" shapeId="0" xr:uid="{00000000-0006-0000-0100-00005B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discount_period; ../../references/source_policy.md; source_id=assump_discount_period_2030E_Base. Standard five-year mid-year DCF convention.</t>
        </r>
      </text>
    </comment>
    <comment ref="F134" authorId="0" shapeId="0" xr:uid="{00000000-0006-0000-0100-00005C010000}">
      <text>
        <r>
          <rPr>
            <sz val="11"/>
            <color theme="1"/>
            <rFont val="Calibri"/>
            <family val="2"/>
            <scheme val="minor"/>
          </rPr>
          <t>Source: Model policy, 2030E, table Forecast fallback policy, row discount_period; ../../references/source_policy.md; source_id=assump_discount_period_2030E_Bull. Standard five-year mid-year DCF convention.</t>
        </r>
      </text>
    </comment>
    <comment ref="D135" authorId="0" shapeId="0" xr:uid="{00000000-0006-0000-0100-00005D010000}">
      <text>
        <r>
          <rPr>
            <sz val="11"/>
            <color theme="1"/>
            <rFont val="Calibri"/>
            <family val="2"/>
            <scheme val="minor"/>
          </rPr>
          <t>Source: Model policy, all, table Forecast fallback policy, row terminal_growth; ../../references/source_policy.md; source_id=assump_terminal_growth_all_Bear. Long-run nominal growth range; provisional valuation input.</t>
        </r>
      </text>
    </comment>
    <comment ref="E135" authorId="0" shapeId="0" xr:uid="{00000000-0006-0000-0100-00005E010000}">
      <text>
        <r>
          <rPr>
            <sz val="11"/>
            <color theme="1"/>
            <rFont val="Calibri"/>
            <family val="2"/>
            <scheme val="minor"/>
          </rPr>
          <t>Source: Model policy, all, table Forecast fallback policy, row terminal_growth; ../../references/source_policy.md; source_id=assump_terminal_growth_all_Base. Long-run nominal growth range; provisional valuation input.</t>
        </r>
      </text>
    </comment>
    <comment ref="F135" authorId="0" shapeId="0" xr:uid="{00000000-0006-0000-0100-00005F010000}">
      <text>
        <r>
          <rPr>
            <sz val="11"/>
            <color theme="1"/>
            <rFont val="Calibri"/>
            <family val="2"/>
            <scheme val="minor"/>
          </rPr>
          <t>Source: Model policy, all, table Forecast fallback policy, row terminal_growth; ../../references/source_policy.md; source_id=assump_terminal_growth_all_Bull. Long-run nominal growth range; provisional valuation input.</t>
        </r>
      </text>
    </comment>
    <comment ref="D136" authorId="0" shapeId="0" xr:uid="{00000000-0006-0000-0100-000060010000}">
      <text>
        <r>
          <rPr>
            <sz val="11"/>
            <color theme="1"/>
            <rFont val="Calibri"/>
            <family val="2"/>
            <scheme val="minor"/>
          </rPr>
          <t>Source: Model policy, all, table Forecast fallback policy, row risk_free_rate; ../../references/source_policy.md; source_id=assump_risk_free_rate_all_Bear. Rounded market-level placeholder; refresh before investment use.</t>
        </r>
      </text>
    </comment>
    <comment ref="E136" authorId="0" shapeId="0" xr:uid="{00000000-0006-0000-0100-000061010000}">
      <text>
        <r>
          <rPr>
            <sz val="11"/>
            <color theme="1"/>
            <rFont val="Calibri"/>
            <family val="2"/>
            <scheme val="minor"/>
          </rPr>
          <t>Source: Model policy, all, table Forecast fallback policy, row risk_free_rate; ../../references/source_policy.md; source_id=assump_risk_free_rate_all_Base. Rounded market-level placeholder; refresh before investment use.</t>
        </r>
      </text>
    </comment>
    <comment ref="F136" authorId="0" shapeId="0" xr:uid="{00000000-0006-0000-0100-000062010000}">
      <text>
        <r>
          <rPr>
            <sz val="11"/>
            <color theme="1"/>
            <rFont val="Calibri"/>
            <family val="2"/>
            <scheme val="minor"/>
          </rPr>
          <t>Source: Model policy, all, table Forecast fallback policy, row risk_free_rate; ../../references/source_policy.md; source_id=assump_risk_free_rate_all_Bull. Rounded market-level placeholder; refresh before investment use.</t>
        </r>
      </text>
    </comment>
    <comment ref="D137" authorId="0" shapeId="0" xr:uid="{00000000-0006-0000-0100-000063010000}">
      <text>
        <r>
          <rPr>
            <sz val="11"/>
            <color theme="1"/>
            <rFont val="Calibri"/>
            <family val="2"/>
            <scheme val="minor"/>
          </rPr>
          <t>Source: Model policy, all, table Forecast fallback policy, row beta; ../../references/source_policy.md; source_id=assump_beta_all_Bear. Wind beta was unavailable; visible skill-default range.</t>
        </r>
      </text>
    </comment>
    <comment ref="E137" authorId="0" shapeId="0" xr:uid="{00000000-0006-0000-0100-000064010000}">
      <text>
        <r>
          <rPr>
            <sz val="11"/>
            <color theme="1"/>
            <rFont val="Calibri"/>
            <family val="2"/>
            <scheme val="minor"/>
          </rPr>
          <t>Source: Model policy, all, table Forecast fallback policy, row beta; ../../references/source_policy.md; source_id=assump_beta_all_Base. Wind beta was unavailable; visible skill-default range.</t>
        </r>
      </text>
    </comment>
    <comment ref="F137" authorId="0" shapeId="0" xr:uid="{00000000-0006-0000-0100-000065010000}">
      <text>
        <r>
          <rPr>
            <sz val="11"/>
            <color theme="1"/>
            <rFont val="Calibri"/>
            <family val="2"/>
            <scheme val="minor"/>
          </rPr>
          <t>Source: Model policy, all, table Forecast fallback policy, row beta; ../../references/source_policy.md; source_id=assump_beta_all_Bull. Wind beta was unavailable; visible skill-default range.</t>
        </r>
      </text>
    </comment>
    <comment ref="D138" authorId="0" shapeId="0" xr:uid="{00000000-0006-0000-0100-000066010000}">
      <text>
        <r>
          <rPr>
            <sz val="11"/>
            <color theme="1"/>
            <rFont val="Calibri"/>
            <family val="2"/>
            <scheme val="minor"/>
          </rPr>
          <t>Source: Model policy, all, table Forecast fallback policy, row erp; ../../references/source_policy.md; source_id=assump_erp_all_Bear. Standard equity-risk-premium range held constant across cases.</t>
        </r>
      </text>
    </comment>
    <comment ref="E138" authorId="0" shapeId="0" xr:uid="{00000000-0006-0000-0100-000067010000}">
      <text>
        <r>
          <rPr>
            <sz val="11"/>
            <color theme="1"/>
            <rFont val="Calibri"/>
            <family val="2"/>
            <scheme val="minor"/>
          </rPr>
          <t>Source: Model policy, all, table Forecast fallback policy, row erp; ../../references/source_policy.md; source_id=assump_erp_all_Base. Standard equity-risk-premium range held constant across cases.</t>
        </r>
      </text>
    </comment>
    <comment ref="F138" authorId="0" shapeId="0" xr:uid="{00000000-0006-0000-0100-000068010000}">
      <text>
        <r>
          <rPr>
            <sz val="11"/>
            <color theme="1"/>
            <rFont val="Calibri"/>
            <family val="2"/>
            <scheme val="minor"/>
          </rPr>
          <t>Source: Model policy, all, table Forecast fallback policy, row erp; ../../references/source_policy.md; source_id=assump_erp_all_Bull. Standard equity-risk-premium range held constant across cases.</t>
        </r>
      </text>
    </comment>
    <comment ref="D139" authorId="0" shapeId="0" xr:uid="{00000000-0006-0000-0100-000069010000}">
      <text>
        <r>
          <rPr>
            <sz val="11"/>
            <color theme="1"/>
            <rFont val="Calibri"/>
            <family val="2"/>
            <scheme val="minor"/>
          </rPr>
          <t>Source: Model policy, all, table Forecast fallback policy, row country_listing_premium; ../../references/source_policy.md; source_id=assump_country_listing_premium_all_Bear. Explicit China/OTC risk overlay; provisional skill default.</t>
        </r>
      </text>
    </comment>
    <comment ref="E139" authorId="0" shapeId="0" xr:uid="{00000000-0006-0000-0100-00006A010000}">
      <text>
        <r>
          <rPr>
            <sz val="11"/>
            <color theme="1"/>
            <rFont val="Calibri"/>
            <family val="2"/>
            <scheme val="minor"/>
          </rPr>
          <t>Source: Model policy, all, table Forecast fallback policy, row country_listing_premium; ../../references/source_policy.md; source_id=assump_country_listing_premium_all_Base. Explicit China/OTC risk overlay; provisional skill default.</t>
        </r>
      </text>
    </comment>
    <comment ref="F139" authorId="0" shapeId="0" xr:uid="{00000000-0006-0000-0100-00006B010000}">
      <text>
        <r>
          <rPr>
            <sz val="11"/>
            <color theme="1"/>
            <rFont val="Calibri"/>
            <family val="2"/>
            <scheme val="minor"/>
          </rPr>
          <t>Source: Model policy, all, table Forecast fallback policy, row country_listing_premium; ../../references/source_policy.md; source_id=assump_country_listing_premium_all_Bull. Explicit China/OTC risk overlay; provisional skill default.</t>
        </r>
      </text>
    </comment>
    <comment ref="D140" authorId="0" shapeId="0" xr:uid="{00000000-0006-0000-0100-00006C010000}">
      <text>
        <r>
          <rPr>
            <sz val="11"/>
            <color theme="1"/>
            <rFont val="Calibri"/>
            <family val="2"/>
            <scheme val="minor"/>
          </rPr>
          <t>Source: Model policy, all, table Forecast fallback policy, row pre_tax_cost_debt; ../../references/source_policy.md; source_id=assump_pre_tax_cost_debt_all_Bear. Reference rate only; capital structure has zero debt at 2025 year-end.</t>
        </r>
      </text>
    </comment>
    <comment ref="E140" authorId="0" shapeId="0" xr:uid="{00000000-0006-0000-0100-00006D010000}">
      <text>
        <r>
          <rPr>
            <sz val="11"/>
            <color theme="1"/>
            <rFont val="Calibri"/>
            <family val="2"/>
            <scheme val="minor"/>
          </rPr>
          <t>Source: Model policy, all, table Forecast fallback policy, row pre_tax_cost_debt; ../../references/source_policy.md; source_id=assump_pre_tax_cost_debt_all_Base. Reference rate only; capital structure has zero debt at 2025 year-end.</t>
        </r>
      </text>
    </comment>
    <comment ref="F140" authorId="0" shapeId="0" xr:uid="{00000000-0006-0000-0100-00006E010000}">
      <text>
        <r>
          <rPr>
            <sz val="11"/>
            <color theme="1"/>
            <rFont val="Calibri"/>
            <family val="2"/>
            <scheme val="minor"/>
          </rPr>
          <t>Source: Model policy, all, table Forecast fallback policy, row pre_tax_cost_debt; ../../references/source_policy.md; source_id=assump_pre_tax_cost_debt_all_Bull. Reference rate only; capital structure has zero debt at 2025 year-end.</t>
        </r>
      </text>
    </comment>
    <comment ref="D141" authorId="0" shapeId="0" xr:uid="{00000000-0006-0000-0100-00006F010000}">
      <text>
        <r>
          <rPr>
            <sz val="11"/>
            <color theme="1"/>
            <rFont val="Calibri"/>
            <family val="2"/>
            <scheme val="minor"/>
          </rPr>
          <t>Source: Wind global stock snapshot, all, table get_global_stock_price_indicators, row LKNCY.OO, latest trade date 2026-09-04; https://www.wind.com.cn/; source_id=assump_current_share_price_all_Bear. Wind latest transaction price as of the stated market date.</t>
        </r>
      </text>
    </comment>
    <comment ref="E141" authorId="0" shapeId="0" xr:uid="{00000000-0006-0000-0100-000070010000}">
      <text>
        <r>
          <rPr>
            <sz val="11"/>
            <color theme="1"/>
            <rFont val="Calibri"/>
            <family val="2"/>
            <scheme val="minor"/>
          </rPr>
          <t>Source: Wind global stock snapshot, all, table get_global_stock_price_indicators, row LKNCY.OO, latest trade date 2026-09-04; https://www.wind.com.cn/; source_id=assump_current_share_price_all_Base. Wind latest transaction price as of the stated market date.</t>
        </r>
      </text>
    </comment>
    <comment ref="F141" authorId="0" shapeId="0" xr:uid="{00000000-0006-0000-0100-000071010000}">
      <text>
        <r>
          <rPr>
            <sz val="11"/>
            <color theme="1"/>
            <rFont val="Calibri"/>
            <family val="2"/>
            <scheme val="minor"/>
          </rPr>
          <t>Source: Wind global stock snapshot, all, table get_global_stock_price_indicators, row LKNCY.OO, latest trade date 2026-09-04; https://www.wind.com.cn/; source_id=assump_current_share_price_all_Bull. Wind latest transaction price as of the stated market date.</t>
        </r>
      </text>
    </comment>
    <comment ref="D142" authorId="0" shapeId="0" xr:uid="{00000000-0006-0000-0100-000072010000}">
      <text>
        <r>
          <rPr>
            <sz val="11"/>
            <color theme="1"/>
            <rFont val="Calibri"/>
            <family val="2"/>
            <scheme val="minor"/>
          </rPr>
          <t>Source: Luckin Coffee FY2025 Form 20-F, all, table 345, row RMB/US$ translation implied by reported statement columns; https://www.sec.gov/Archives/edgar/data/1767582/000110465926035712/lk-20251231x20f.htm; source_id=assump_fx_cny_per_usd_all_Bear. 7.0063 CNY/USD, derived from 2025 20-F presentation translation.</t>
        </r>
      </text>
    </comment>
    <comment ref="E142" authorId="0" shapeId="0" xr:uid="{00000000-0006-0000-0100-000073010000}">
      <text>
        <r>
          <rPr>
            <sz val="11"/>
            <color theme="1"/>
            <rFont val="Calibri"/>
            <family val="2"/>
            <scheme val="minor"/>
          </rPr>
          <t>Source: Luckin Coffee FY2025 Form 20-F, all, table 345, row RMB/US$ translation implied by reported statement columns; https://www.sec.gov/Archives/edgar/data/1767582/000110465926035712/lk-20251231x20f.htm; source_id=assump_fx_cny_per_usd_all_Base. 7.0063 CNY/USD, derived from 2025 20-F presentation translation.</t>
        </r>
      </text>
    </comment>
    <comment ref="F142" authorId="0" shapeId="0" xr:uid="{00000000-0006-0000-0100-000074010000}">
      <text>
        <r>
          <rPr>
            <sz val="11"/>
            <color theme="1"/>
            <rFont val="Calibri"/>
            <family val="2"/>
            <scheme val="minor"/>
          </rPr>
          <t>Source: Luckin Coffee FY2025 Form 20-F, all, table 345, row RMB/US$ translation implied by reported statement columns; https://www.sec.gov/Archives/edgar/data/1767582/000110465926035712/lk-20251231x20f.htm; source_id=assump_fx_cny_per_usd_all_Bull. 7.0063 CNY/USD, derived from 2025 20-F presentation translation.</t>
        </r>
      </text>
    </comment>
    <comment ref="D143" authorId="0" shapeId="0" xr:uid="{00000000-0006-0000-0100-000075010000}">
      <text>
        <r>
          <rPr>
            <sz val="11"/>
            <color theme="1"/>
            <rFont val="Calibri"/>
            <family val="2"/>
            <scheme val="minor"/>
          </rPr>
          <t>Source: Luckin Coffee FY2025 Form 20-F, all, table 344, row Class A plus Class B ordinary shares; 1 ADS = 8 ordinary shares; https://www.sec.gov/Archives/edgar/data/1767582/000110465926035712/lk-20251231x20f.htm; source_id=assump_basic_ads_shares_all_Bear. 2025 year-end ordinary shares converted to ADS equivalents.</t>
        </r>
      </text>
    </comment>
    <comment ref="E143" authorId="0" shapeId="0" xr:uid="{00000000-0006-0000-0100-000076010000}">
      <text>
        <r>
          <rPr>
            <sz val="11"/>
            <color theme="1"/>
            <rFont val="Calibri"/>
            <family val="2"/>
            <scheme val="minor"/>
          </rPr>
          <t>Source: Luckin Coffee FY2025 Form 20-F, all, table 344, row Class A plus Class B ordinary shares; 1 ADS = 8 ordinary shares; https://www.sec.gov/Archives/edgar/data/1767582/000110465926035712/lk-20251231x20f.htm; source_id=assump_basic_ads_shares_all_Base. 2025 year-end ordinary shares converted to ADS equivalents.</t>
        </r>
      </text>
    </comment>
    <comment ref="F143" authorId="0" shapeId="0" xr:uid="{00000000-0006-0000-0100-000077010000}">
      <text>
        <r>
          <rPr>
            <sz val="11"/>
            <color theme="1"/>
            <rFont val="Calibri"/>
            <family val="2"/>
            <scheme val="minor"/>
          </rPr>
          <t>Source: Luckin Coffee FY2025 Form 20-F, all, table 344, row Class A plus Class B ordinary shares; 1 ADS = 8 ordinary shares; https://www.sec.gov/Archives/edgar/data/1767582/000110465926035712/lk-20251231x20f.htm; source_id=assump_basic_ads_shares_all_Bull. 2025 year-end ordinary shares converted to ADS equivalents.</t>
        </r>
      </text>
    </comment>
    <comment ref="D144" authorId="0" shapeId="0" xr:uid="{00000000-0006-0000-0100-000078010000}">
      <text>
        <r>
          <rPr>
            <sz val="11"/>
            <color theme="1"/>
            <rFont val="Calibri"/>
            <family val="2"/>
            <scheme val="minor"/>
          </rPr>
          <t>Source: Luckin Coffee FY2025 Form 20-F, all, table 345, row 2025 diluted weighted-average shares; 1 ADS = 8 ordinary shares; https://www.sec.gov/Archives/edgar/data/1767582/000110465926035712/lk-20251231x20f.htm; source_id=assump_diluted_ads_shares_all_Bear. Diluted ordinary shares converted to ADS equivalents.</t>
        </r>
      </text>
    </comment>
    <comment ref="E144" authorId="0" shapeId="0" xr:uid="{00000000-0006-0000-0100-000079010000}">
      <text>
        <r>
          <rPr>
            <sz val="11"/>
            <color theme="1"/>
            <rFont val="Calibri"/>
            <family val="2"/>
            <scheme val="minor"/>
          </rPr>
          <t>Source: Luckin Coffee FY2025 Form 20-F, all, table 345, row 2025 diluted weighted-average shares; 1 ADS = 8 ordinary shares; https://www.sec.gov/Archives/edgar/data/1767582/000110465926035712/lk-20251231x20f.htm; source_id=assump_diluted_ads_shares_all_Base. Diluted ordinary shares converted to ADS equivalents.</t>
        </r>
      </text>
    </comment>
    <comment ref="F144" authorId="0" shapeId="0" xr:uid="{00000000-0006-0000-0100-00007A010000}">
      <text>
        <r>
          <rPr>
            <sz val="11"/>
            <color theme="1"/>
            <rFont val="Calibri"/>
            <family val="2"/>
            <scheme val="minor"/>
          </rPr>
          <t>Source: Luckin Coffee FY2025 Form 20-F, all, table 345, row 2025 diluted weighted-average shares; 1 ADS = 8 ordinary shares; https://www.sec.gov/Archives/edgar/data/1767582/000110465926035712/lk-20251231x20f.htm; source_id=assump_diluted_ads_shares_all_Bull. Diluted ordinary shares converted to ADS equivalents.</t>
        </r>
      </text>
    </comment>
    <comment ref="D145" authorId="0" shapeId="0" xr:uid="{00000000-0006-0000-0100-00007B010000}">
      <text>
        <r>
          <rPr>
            <sz val="11"/>
            <color theme="1"/>
            <rFont val="Calibri"/>
            <family val="2"/>
            <scheme val="minor"/>
          </rPr>
          <t>Source: Luckin Coffee FY2025 Form 20-F, all, table 343, row Short-term and long-term bank borrowings; https://www.sec.gov/Archives/edgar/data/1767582/000110465926035712/lk-20251231x20f.htm; source_id=assump_total_debt_all_Bear. Both borrowing lines were nil at December 31, 2025.</t>
        </r>
      </text>
    </comment>
    <comment ref="E145" authorId="0" shapeId="0" xr:uid="{00000000-0006-0000-0100-00007C010000}">
      <text>
        <r>
          <rPr>
            <sz val="11"/>
            <color theme="1"/>
            <rFont val="Calibri"/>
            <family val="2"/>
            <scheme val="minor"/>
          </rPr>
          <t>Source: Luckin Coffee FY2025 Form 20-F, all, table 343, row Short-term and long-term bank borrowings; https://www.sec.gov/Archives/edgar/data/1767582/000110465926035712/lk-20251231x20f.htm; source_id=assump_total_debt_all_Base. Both borrowing lines were nil at December 31, 2025.</t>
        </r>
      </text>
    </comment>
    <comment ref="F145" authorId="0" shapeId="0" xr:uid="{00000000-0006-0000-0100-00007D010000}">
      <text>
        <r>
          <rPr>
            <sz val="11"/>
            <color theme="1"/>
            <rFont val="Calibri"/>
            <family val="2"/>
            <scheme val="minor"/>
          </rPr>
          <t>Source: Luckin Coffee FY2025 Form 20-F, all, table 343, row Short-term and long-term bank borrowings; https://www.sec.gov/Archives/edgar/data/1767582/000110465926035712/lk-20251231x20f.htm; source_id=assump_total_debt_all_Bull. Both borrowing lines were nil at December 31, 2025.</t>
        </r>
      </text>
    </comment>
    <comment ref="D146" authorId="0" shapeId="0" xr:uid="{00000000-0006-0000-0100-00007E010000}">
      <text>
        <r>
          <rPr>
            <sz val="11"/>
            <color theme="1"/>
            <rFont val="Calibri"/>
            <family val="2"/>
            <scheme val="minor"/>
          </rPr>
          <t>Source: Luckin Coffee FY2025 Form 20-F, all, table 343, row Cash, short-term investments, and current/non-current term deposits; https://www.sec.gov/Archives/edgar/data/1767582/000110465926035712/lk-20251231x20f.htm; source_id=assump_cash_liquid_investments_all_Bear. Excludes restricted cash; used as the DCF equity-bridge liquidity adjustment.</t>
        </r>
      </text>
    </comment>
    <comment ref="E146" authorId="0" shapeId="0" xr:uid="{00000000-0006-0000-0100-00007F010000}">
      <text>
        <r>
          <rPr>
            <sz val="11"/>
            <color theme="1"/>
            <rFont val="Calibri"/>
            <family val="2"/>
            <scheme val="minor"/>
          </rPr>
          <t>Source: Luckin Coffee FY2025 Form 20-F, all, table 343, row Cash, short-term investments, and current/non-current term deposits; https://www.sec.gov/Archives/edgar/data/1767582/000110465926035712/lk-20251231x20f.htm; source_id=assump_cash_liquid_investments_all_Base. Excludes restricted cash; used as the DCF equity-bridge liquidity adjustment.</t>
        </r>
      </text>
    </comment>
    <comment ref="F146" authorId="0" shapeId="0" xr:uid="{00000000-0006-0000-0100-000080010000}">
      <text>
        <r>
          <rPr>
            <sz val="11"/>
            <color theme="1"/>
            <rFont val="Calibri"/>
            <family val="2"/>
            <scheme val="minor"/>
          </rPr>
          <t>Source: Luckin Coffee FY2025 Form 20-F, all, table 343, row Cash, short-term investments, and current/non-current term deposits; https://www.sec.gov/Archives/edgar/data/1767582/000110465926035712/lk-20251231x20f.htm; source_id=assump_cash_liquid_investments_all_Bull. Excludes restricted cash; used as the DCF equity-bridge liquidity adjustment.</t>
        </r>
      </text>
    </comment>
    <comment ref="D147" authorId="0" shapeId="0" xr:uid="{00000000-0006-0000-0100-000081010000}">
      <text>
        <r>
          <rPr>
            <sz val="11"/>
            <color theme="1"/>
            <rFont val="Calibri"/>
            <family val="2"/>
            <scheme val="minor"/>
          </rPr>
          <t>Source: Luckin Coffee FY2025 Form 20-F, all, table 344, row Convertible senior preferred shares / total mezzanine equity; https://www.sec.gov/Archives/edgar/data/1767582/000110465926035712/lk-20251231x20f.htm; source_id=assump_mezzanine_equity_all_Bear. Deducted after enterprise value to reach common equity value.</t>
        </r>
      </text>
    </comment>
    <comment ref="E147" authorId="0" shapeId="0" xr:uid="{00000000-0006-0000-0100-000082010000}">
      <text>
        <r>
          <rPr>
            <sz val="11"/>
            <color theme="1"/>
            <rFont val="Calibri"/>
            <family val="2"/>
            <scheme val="minor"/>
          </rPr>
          <t>Source: Luckin Coffee FY2025 Form 20-F, all, table 344, row Convertible senior preferred shares / total mezzanine equity; https://www.sec.gov/Archives/edgar/data/1767582/000110465926035712/lk-20251231x20f.htm; source_id=assump_mezzanine_equity_all_Base. Deducted after enterprise value to reach common equity value.</t>
        </r>
      </text>
    </comment>
    <comment ref="F147" authorId="0" shapeId="0" xr:uid="{00000000-0006-0000-0100-000083010000}">
      <text>
        <r>
          <rPr>
            <sz val="11"/>
            <color theme="1"/>
            <rFont val="Calibri"/>
            <family val="2"/>
            <scheme val="minor"/>
          </rPr>
          <t>Source: Luckin Coffee FY2025 Form 20-F, all, table 344, row Convertible senior preferred shares / total mezzanine equity; https://www.sec.gov/Archives/edgar/data/1767582/000110465926035712/lk-20251231x20f.htm; source_id=assump_mezzanine_equity_all_Bull. Deducted after enterprise value to reach common equity value.</t>
        </r>
      </text>
    </comment>
    <comment ref="C151" authorId="0" shapeId="0" xr:uid="{00000000-0006-0000-0100-000084010000}">
      <text>
        <r>
          <rPr>
            <sz val="11"/>
            <color theme="1"/>
            <rFont val="Calibri"/>
            <family val="2"/>
            <scheme val="minor"/>
          </rPr>
          <t>Source: Model policy, 1, table Forecast fallback policy, row wacc_axis_position; ../../references/source_policy.md; source_id=axis_wacc_axis_1_position. Approved 5x5 axis position.</t>
        </r>
      </text>
    </comment>
    <comment ref="D151" authorId="0" shapeId="0" xr:uid="{00000000-0006-0000-0100-000085010000}">
      <text>
        <r>
          <rPr>
            <sz val="11"/>
            <color theme="1"/>
            <rFont val="Calibri"/>
            <family val="2"/>
            <scheme val="minor"/>
          </rPr>
          <t>Source: Model policy, 1, table Forecast fallback policy, row wacc_axis; ../../references/source_policy.md; source_id=axis_wacc_axis_1. Approved 5x5 sensitivity axis; center equals Base case.</t>
        </r>
      </text>
    </comment>
    <comment ref="C152" authorId="0" shapeId="0" xr:uid="{00000000-0006-0000-0100-000086010000}">
      <text>
        <r>
          <rPr>
            <sz val="11"/>
            <color theme="1"/>
            <rFont val="Calibri"/>
            <family val="2"/>
            <scheme val="minor"/>
          </rPr>
          <t>Source: Model policy, 2, table Forecast fallback policy, row wacc_axis_position; ../../references/source_policy.md; source_id=axis_wacc_axis_2_position. Approved 5x5 axis position.</t>
        </r>
      </text>
    </comment>
    <comment ref="D152" authorId="0" shapeId="0" xr:uid="{00000000-0006-0000-0100-000087010000}">
      <text>
        <r>
          <rPr>
            <sz val="11"/>
            <color theme="1"/>
            <rFont val="Calibri"/>
            <family val="2"/>
            <scheme val="minor"/>
          </rPr>
          <t>Source: Model policy, 2, table Forecast fallback policy, row wacc_axis; ../../references/source_policy.md; source_id=axis_wacc_axis_2. Approved 5x5 sensitivity axis; center equals Base case.</t>
        </r>
      </text>
    </comment>
    <comment ref="C153" authorId="0" shapeId="0" xr:uid="{00000000-0006-0000-0100-000088010000}">
      <text>
        <r>
          <rPr>
            <sz val="11"/>
            <color theme="1"/>
            <rFont val="Calibri"/>
            <family val="2"/>
            <scheme val="minor"/>
          </rPr>
          <t>Source: Model policy, 3, table Forecast fallback policy, row wacc_axis_position; ../../references/source_policy.md; source_id=axis_wacc_axis_3_position. Approved 5x5 axis position.</t>
        </r>
      </text>
    </comment>
    <comment ref="D153" authorId="0" shapeId="0" xr:uid="{00000000-0006-0000-0100-000089010000}">
      <text>
        <r>
          <rPr>
            <sz val="11"/>
            <color theme="1"/>
            <rFont val="Calibri"/>
            <family val="2"/>
            <scheme val="minor"/>
          </rPr>
          <t>Source: Model policy, 3, table Forecast fallback policy, row wacc_axis; ../../references/source_policy.md; source_id=axis_wacc_axis_3. Approved 5x5 sensitivity axis; center equals Base case.</t>
        </r>
      </text>
    </comment>
    <comment ref="C154" authorId="0" shapeId="0" xr:uid="{00000000-0006-0000-0100-00008A010000}">
      <text>
        <r>
          <rPr>
            <sz val="11"/>
            <color theme="1"/>
            <rFont val="Calibri"/>
            <family val="2"/>
            <scheme val="minor"/>
          </rPr>
          <t>Source: Model policy, 4, table Forecast fallback policy, row wacc_axis_position; ../../references/source_policy.md; source_id=axis_wacc_axis_4_position. Approved 5x5 axis position.</t>
        </r>
      </text>
    </comment>
    <comment ref="D154" authorId="0" shapeId="0" xr:uid="{00000000-0006-0000-0100-00008B010000}">
      <text>
        <r>
          <rPr>
            <sz val="11"/>
            <color theme="1"/>
            <rFont val="Calibri"/>
            <family val="2"/>
            <scheme val="minor"/>
          </rPr>
          <t>Source: Model policy, 4, table Forecast fallback policy, row wacc_axis; ../../references/source_policy.md; source_id=axis_wacc_axis_4. Approved 5x5 sensitivity axis; center equals Base case.</t>
        </r>
      </text>
    </comment>
    <comment ref="C155" authorId="0" shapeId="0" xr:uid="{00000000-0006-0000-0100-00008C010000}">
      <text>
        <r>
          <rPr>
            <sz val="11"/>
            <color theme="1"/>
            <rFont val="Calibri"/>
            <family val="2"/>
            <scheme val="minor"/>
          </rPr>
          <t>Source: Model policy, 5, table Forecast fallback policy, row wacc_axis_position; ../../references/source_policy.md; source_id=axis_wacc_axis_5_position. Approved 5x5 axis position.</t>
        </r>
      </text>
    </comment>
    <comment ref="D155" authorId="0" shapeId="0" xr:uid="{00000000-0006-0000-0100-00008D010000}">
      <text>
        <r>
          <rPr>
            <sz val="11"/>
            <color theme="1"/>
            <rFont val="Calibri"/>
            <family val="2"/>
            <scheme val="minor"/>
          </rPr>
          <t>Source: Model policy, 5, table Forecast fallback policy, row wacc_axis; ../../references/source_policy.md; source_id=axis_wacc_axis_5. Approved 5x5 sensitivity axis; center equals Base case.</t>
        </r>
      </text>
    </comment>
    <comment ref="C156" authorId="0" shapeId="0" xr:uid="{00000000-0006-0000-0100-00008E010000}">
      <text>
        <r>
          <rPr>
            <sz val="11"/>
            <color theme="1"/>
            <rFont val="Calibri"/>
            <family val="2"/>
            <scheme val="minor"/>
          </rPr>
          <t>Source: Model policy, 1, table Forecast fallback policy, row terminal_growth_axis_position; ../../references/source_policy.md; source_id=axis_terminal_growth_axis_1_position. Approved 5x5 axis position.</t>
        </r>
      </text>
    </comment>
    <comment ref="D156" authorId="0" shapeId="0" xr:uid="{00000000-0006-0000-0100-00008F010000}">
      <text>
        <r>
          <rPr>
            <sz val="11"/>
            <color theme="1"/>
            <rFont val="Calibri"/>
            <family val="2"/>
            <scheme val="minor"/>
          </rPr>
          <t>Source: Model policy, 1, table Forecast fallback policy, row terminal_growth_axis; ../../references/source_policy.md; source_id=axis_terminal_growth_axis_1. Approved 5x5 sensitivity axis; center equals Base case.</t>
        </r>
      </text>
    </comment>
    <comment ref="C157" authorId="0" shapeId="0" xr:uid="{00000000-0006-0000-0100-000090010000}">
      <text>
        <r>
          <rPr>
            <sz val="11"/>
            <color theme="1"/>
            <rFont val="Calibri"/>
            <family val="2"/>
            <scheme val="minor"/>
          </rPr>
          <t>Source: Model policy, 2, table Forecast fallback policy, row terminal_growth_axis_position; ../../references/source_policy.md; source_id=axis_terminal_growth_axis_2_position. Approved 5x5 axis position.</t>
        </r>
      </text>
    </comment>
    <comment ref="D157" authorId="0" shapeId="0" xr:uid="{00000000-0006-0000-0100-000091010000}">
      <text>
        <r>
          <rPr>
            <sz val="11"/>
            <color theme="1"/>
            <rFont val="Calibri"/>
            <family val="2"/>
            <scheme val="minor"/>
          </rPr>
          <t>Source: Model policy, 2, table Forecast fallback policy, row terminal_growth_axis; ../../references/source_policy.md; source_id=axis_terminal_growth_axis_2. Approved 5x5 sensitivity axis; center equals Base case.</t>
        </r>
      </text>
    </comment>
    <comment ref="C158" authorId="0" shapeId="0" xr:uid="{00000000-0006-0000-0100-000092010000}">
      <text>
        <r>
          <rPr>
            <sz val="11"/>
            <color theme="1"/>
            <rFont val="Calibri"/>
            <family val="2"/>
            <scheme val="minor"/>
          </rPr>
          <t>Source: Model policy, 3, table Forecast fallback policy, row terminal_growth_axis_position; ../../references/source_policy.md; source_id=axis_terminal_growth_axis_3_position. Approved 5x5 axis position.</t>
        </r>
      </text>
    </comment>
    <comment ref="D158" authorId="0" shapeId="0" xr:uid="{00000000-0006-0000-0100-000093010000}">
      <text>
        <r>
          <rPr>
            <sz val="11"/>
            <color theme="1"/>
            <rFont val="Calibri"/>
            <family val="2"/>
            <scheme val="minor"/>
          </rPr>
          <t>Source: Model policy, 3, table Forecast fallback policy, row terminal_growth_axis; ../../references/source_policy.md; source_id=axis_terminal_growth_axis_3. Approved 5x5 sensitivity axis; center equals Base case.</t>
        </r>
      </text>
    </comment>
    <comment ref="C159" authorId="0" shapeId="0" xr:uid="{00000000-0006-0000-0100-000094010000}">
      <text>
        <r>
          <rPr>
            <sz val="11"/>
            <color theme="1"/>
            <rFont val="Calibri"/>
            <family val="2"/>
            <scheme val="minor"/>
          </rPr>
          <t>Source: Model policy, 4, table Forecast fallback policy, row terminal_growth_axis_position; ../../references/source_policy.md; source_id=axis_terminal_growth_axis_4_position. Approved 5x5 axis position.</t>
        </r>
      </text>
    </comment>
    <comment ref="D159" authorId="0" shapeId="0" xr:uid="{00000000-0006-0000-0100-000095010000}">
      <text>
        <r>
          <rPr>
            <sz val="11"/>
            <color theme="1"/>
            <rFont val="Calibri"/>
            <family val="2"/>
            <scheme val="minor"/>
          </rPr>
          <t>Source: Model policy, 4, table Forecast fallback policy, row terminal_growth_axis; ../../references/source_policy.md; source_id=axis_terminal_growth_axis_4. Approved 5x5 sensitivity axis; center equals Base case.</t>
        </r>
      </text>
    </comment>
    <comment ref="C160" authorId="0" shapeId="0" xr:uid="{00000000-0006-0000-0100-000096010000}">
      <text>
        <r>
          <rPr>
            <sz val="11"/>
            <color theme="1"/>
            <rFont val="Calibri"/>
            <family val="2"/>
            <scheme val="minor"/>
          </rPr>
          <t>Source: Model policy, 5, table Forecast fallback policy, row terminal_growth_axis_position; ../../references/source_policy.md; source_id=axis_terminal_growth_axis_5_position. Approved 5x5 axis position.</t>
        </r>
      </text>
    </comment>
    <comment ref="D160" authorId="0" shapeId="0" xr:uid="{00000000-0006-0000-0100-000097010000}">
      <text>
        <r>
          <rPr>
            <sz val="11"/>
            <color theme="1"/>
            <rFont val="Calibri"/>
            <family val="2"/>
            <scheme val="minor"/>
          </rPr>
          <t>Source: Model policy, 5, table Forecast fallback policy, row terminal_growth_axis; ../../references/source_policy.md; source_id=axis_terminal_growth_axis_5. Approved 5x5 sensitivity axis; center equals Base case.</t>
        </r>
      </text>
    </comment>
    <comment ref="C161" authorId="0" shapeId="0" xr:uid="{00000000-0006-0000-0100-000098010000}">
      <text>
        <r>
          <rPr>
            <sz val="11"/>
            <color theme="1"/>
            <rFont val="Calibri"/>
            <family val="2"/>
            <scheme val="minor"/>
          </rPr>
          <t>Source: Model policy, 1, table Forecast fallback policy, row revenue_growth_delta_axis_position; ../../references/source_policy.md; source_id=axis_revenue_growth_delta_axis_1_position. Approved 5x5 axis position.</t>
        </r>
      </text>
    </comment>
    <comment ref="D161" authorId="0" shapeId="0" xr:uid="{00000000-0006-0000-0100-000099010000}">
      <text>
        <r>
          <rPr>
            <sz val="11"/>
            <color theme="1"/>
            <rFont val="Calibri"/>
            <family val="2"/>
            <scheme val="minor"/>
          </rPr>
          <t>Source: Model policy, 1, table Forecast fallback policy, row revenue_growth_delta_axis; ../../references/source_policy.md; source_id=axis_revenue_growth_delta_axis_1. Approved 5x5 sensitivity axis; center equals Base case.</t>
        </r>
      </text>
    </comment>
    <comment ref="C162" authorId="0" shapeId="0" xr:uid="{00000000-0006-0000-0100-00009A010000}">
      <text>
        <r>
          <rPr>
            <sz val="11"/>
            <color theme="1"/>
            <rFont val="Calibri"/>
            <family val="2"/>
            <scheme val="minor"/>
          </rPr>
          <t>Source: Model policy, 2, table Forecast fallback policy, row revenue_growth_delta_axis_position; ../../references/source_policy.md; source_id=axis_revenue_growth_delta_axis_2_position. Approved 5x5 axis position.</t>
        </r>
      </text>
    </comment>
    <comment ref="D162" authorId="0" shapeId="0" xr:uid="{00000000-0006-0000-0100-00009B010000}">
      <text>
        <r>
          <rPr>
            <sz val="11"/>
            <color theme="1"/>
            <rFont val="Calibri"/>
            <family val="2"/>
            <scheme val="minor"/>
          </rPr>
          <t>Source: Model policy, 2, table Forecast fallback policy, row revenue_growth_delta_axis; ../../references/source_policy.md; source_id=axis_revenue_growth_delta_axis_2. Approved 5x5 sensitivity axis; center equals Base case.</t>
        </r>
      </text>
    </comment>
    <comment ref="C163" authorId="0" shapeId="0" xr:uid="{00000000-0006-0000-0100-00009C010000}">
      <text>
        <r>
          <rPr>
            <sz val="11"/>
            <color theme="1"/>
            <rFont val="Calibri"/>
            <family val="2"/>
            <scheme val="minor"/>
          </rPr>
          <t>Source: Model policy, 3, table Forecast fallback policy, row revenue_growth_delta_axis_position; ../../references/source_policy.md; source_id=axis_revenue_growth_delta_axis_3_position. Approved 5x5 axis position.</t>
        </r>
      </text>
    </comment>
    <comment ref="D163" authorId="0" shapeId="0" xr:uid="{00000000-0006-0000-0100-00009D010000}">
      <text>
        <r>
          <rPr>
            <sz val="11"/>
            <color theme="1"/>
            <rFont val="Calibri"/>
            <family val="2"/>
            <scheme val="minor"/>
          </rPr>
          <t>Source: Model policy, 3, table Forecast fallback policy, row revenue_growth_delta_axis; ../../references/source_policy.md; source_id=axis_revenue_growth_delta_axis_3. Approved 5x5 sensitivity axis; center equals Base case.</t>
        </r>
      </text>
    </comment>
    <comment ref="C164" authorId="0" shapeId="0" xr:uid="{00000000-0006-0000-0100-00009E010000}">
      <text>
        <r>
          <rPr>
            <sz val="11"/>
            <color theme="1"/>
            <rFont val="Calibri"/>
            <family val="2"/>
            <scheme val="minor"/>
          </rPr>
          <t>Source: Model policy, 4, table Forecast fallback policy, row revenue_growth_delta_axis_position; ../../references/source_policy.md; source_id=axis_revenue_growth_delta_axis_4_position. Approved 5x5 axis position.</t>
        </r>
      </text>
    </comment>
    <comment ref="D164" authorId="0" shapeId="0" xr:uid="{00000000-0006-0000-0100-00009F010000}">
      <text>
        <r>
          <rPr>
            <sz val="11"/>
            <color theme="1"/>
            <rFont val="Calibri"/>
            <family val="2"/>
            <scheme val="minor"/>
          </rPr>
          <t>Source: Model policy, 4, table Forecast fallback policy, row revenue_growth_delta_axis; ../../references/source_policy.md; source_id=axis_revenue_growth_delta_axis_4. Approved 5x5 sensitivity axis; center equals Base case.</t>
        </r>
      </text>
    </comment>
    <comment ref="C165" authorId="0" shapeId="0" xr:uid="{00000000-0006-0000-0100-0000A0010000}">
      <text>
        <r>
          <rPr>
            <sz val="11"/>
            <color theme="1"/>
            <rFont val="Calibri"/>
            <family val="2"/>
            <scheme val="minor"/>
          </rPr>
          <t>Source: Model policy, 5, table Forecast fallback policy, row revenue_growth_delta_axis_position; ../../references/source_policy.md; source_id=axis_revenue_growth_delta_axis_5_position. Approved 5x5 axis position.</t>
        </r>
      </text>
    </comment>
    <comment ref="D165" authorId="0" shapeId="0" xr:uid="{00000000-0006-0000-0100-0000A1010000}">
      <text>
        <r>
          <rPr>
            <sz val="11"/>
            <color theme="1"/>
            <rFont val="Calibri"/>
            <family val="2"/>
            <scheme val="minor"/>
          </rPr>
          <t>Source: Model policy, 5, table Forecast fallback policy, row revenue_growth_delta_axis; ../../references/source_policy.md; source_id=axis_revenue_growth_delta_axis_5. Approved 5x5 sensitivity axis; center equals Base case.</t>
        </r>
      </text>
    </comment>
    <comment ref="C166" authorId="0" shapeId="0" xr:uid="{00000000-0006-0000-0100-0000A2010000}">
      <text>
        <r>
          <rPr>
            <sz val="11"/>
            <color theme="1"/>
            <rFont val="Calibri"/>
            <family val="2"/>
            <scheme val="minor"/>
          </rPr>
          <t>Source: Model policy, 1, table Forecast fallback policy, row ebit_margin_delta_axis_position; ../../references/source_policy.md; source_id=axis_ebit_margin_delta_axis_1_position. Approved 5x5 axis position.</t>
        </r>
      </text>
    </comment>
    <comment ref="D166" authorId="0" shapeId="0" xr:uid="{00000000-0006-0000-0100-0000A3010000}">
      <text>
        <r>
          <rPr>
            <sz val="11"/>
            <color theme="1"/>
            <rFont val="Calibri"/>
            <family val="2"/>
            <scheme val="minor"/>
          </rPr>
          <t>Source: Model policy, 1, table Forecast fallback policy, row ebit_margin_delta_axis; ../../references/source_policy.md; source_id=axis_ebit_margin_delta_axis_1. Approved 5x5 sensitivity axis; center equals Base case.</t>
        </r>
      </text>
    </comment>
    <comment ref="C167" authorId="0" shapeId="0" xr:uid="{00000000-0006-0000-0100-0000A4010000}">
      <text>
        <r>
          <rPr>
            <sz val="11"/>
            <color theme="1"/>
            <rFont val="Calibri"/>
            <family val="2"/>
            <scheme val="minor"/>
          </rPr>
          <t>Source: Model policy, 2, table Forecast fallback policy, row ebit_margin_delta_axis_position; ../../references/source_policy.md; source_id=axis_ebit_margin_delta_axis_2_position. Approved 5x5 axis position.</t>
        </r>
      </text>
    </comment>
    <comment ref="D167" authorId="0" shapeId="0" xr:uid="{00000000-0006-0000-0100-0000A5010000}">
      <text>
        <r>
          <rPr>
            <sz val="11"/>
            <color theme="1"/>
            <rFont val="Calibri"/>
            <family val="2"/>
            <scheme val="minor"/>
          </rPr>
          <t>Source: Model policy, 2, table Forecast fallback policy, row ebit_margin_delta_axis; ../../references/source_policy.md; source_id=axis_ebit_margin_delta_axis_2. Approved 5x5 sensitivity axis; center equals Base case.</t>
        </r>
      </text>
    </comment>
    <comment ref="C168" authorId="0" shapeId="0" xr:uid="{00000000-0006-0000-0100-0000A6010000}">
      <text>
        <r>
          <rPr>
            <sz val="11"/>
            <color theme="1"/>
            <rFont val="Calibri"/>
            <family val="2"/>
            <scheme val="minor"/>
          </rPr>
          <t>Source: Model policy, 3, table Forecast fallback policy, row ebit_margin_delta_axis_position; ../../references/source_policy.md; source_id=axis_ebit_margin_delta_axis_3_position. Approved 5x5 axis position.</t>
        </r>
      </text>
    </comment>
    <comment ref="D168" authorId="0" shapeId="0" xr:uid="{00000000-0006-0000-0100-0000A7010000}">
      <text>
        <r>
          <rPr>
            <sz val="11"/>
            <color theme="1"/>
            <rFont val="Calibri"/>
            <family val="2"/>
            <scheme val="minor"/>
          </rPr>
          <t>Source: Model policy, 3, table Forecast fallback policy, row ebit_margin_delta_axis; ../../references/source_policy.md; source_id=axis_ebit_margin_delta_axis_3. Approved 5x5 sensitivity axis; center equals Base case.</t>
        </r>
      </text>
    </comment>
    <comment ref="C169" authorId="0" shapeId="0" xr:uid="{00000000-0006-0000-0100-0000A8010000}">
      <text>
        <r>
          <rPr>
            <sz val="11"/>
            <color theme="1"/>
            <rFont val="Calibri"/>
            <family val="2"/>
            <scheme val="minor"/>
          </rPr>
          <t>Source: Model policy, 4, table Forecast fallback policy, row ebit_margin_delta_axis_position; ../../references/source_policy.md; source_id=axis_ebit_margin_delta_axis_4_position. Approved 5x5 axis position.</t>
        </r>
      </text>
    </comment>
    <comment ref="D169" authorId="0" shapeId="0" xr:uid="{00000000-0006-0000-0100-0000A9010000}">
      <text>
        <r>
          <rPr>
            <sz val="11"/>
            <color theme="1"/>
            <rFont val="Calibri"/>
            <family val="2"/>
            <scheme val="minor"/>
          </rPr>
          <t>Source: Model policy, 4, table Forecast fallback policy, row ebit_margin_delta_axis; ../../references/source_policy.md; source_id=axis_ebit_margin_delta_axis_4. Approved 5x5 sensitivity axis; center equals Base case.</t>
        </r>
      </text>
    </comment>
    <comment ref="C170" authorId="0" shapeId="0" xr:uid="{00000000-0006-0000-0100-0000AA010000}">
      <text>
        <r>
          <rPr>
            <sz val="11"/>
            <color theme="1"/>
            <rFont val="Calibri"/>
            <family val="2"/>
            <scheme val="minor"/>
          </rPr>
          <t>Source: Model policy, 5, table Forecast fallback policy, row ebit_margin_delta_axis_position; ../../references/source_policy.md; source_id=axis_ebit_margin_delta_axis_5_position. Approved 5x5 axis position.</t>
        </r>
      </text>
    </comment>
    <comment ref="D170" authorId="0" shapeId="0" xr:uid="{00000000-0006-0000-0100-0000AB010000}">
      <text>
        <r>
          <rPr>
            <sz val="11"/>
            <color theme="1"/>
            <rFont val="Calibri"/>
            <family val="2"/>
            <scheme val="minor"/>
          </rPr>
          <t>Source: Model policy, 5, table Forecast fallback policy, row ebit_margin_delta_axis; ../../references/source_policy.md; source_id=axis_ebit_margin_delta_axis_5. Approved 5x5 sensitivity axis; center equals Base case.</t>
        </r>
      </text>
    </comment>
    <comment ref="C171" authorId="0" shapeId="0" xr:uid="{00000000-0006-0000-0100-0000AC010000}">
      <text>
        <r>
          <rPr>
            <sz val="11"/>
            <color theme="1"/>
            <rFont val="Calibri"/>
            <family val="2"/>
            <scheme val="minor"/>
          </rPr>
          <t>Source: Model policy, 1, table Forecast fallback policy, row beta_axis_position; ../../references/source_policy.md; source_id=axis_beta_axis_1_position. Approved 5x5 axis position.</t>
        </r>
      </text>
    </comment>
    <comment ref="D171" authorId="0" shapeId="0" xr:uid="{00000000-0006-0000-0100-0000AD010000}">
      <text>
        <r>
          <rPr>
            <sz val="11"/>
            <color theme="1"/>
            <rFont val="Calibri"/>
            <family val="2"/>
            <scheme val="minor"/>
          </rPr>
          <t>Source: Model policy, 1, table Forecast fallback policy, row beta_axis; ../../references/source_policy.md; source_id=axis_beta_axis_1. Approved 5x5 sensitivity axis; center equals Base case.</t>
        </r>
      </text>
    </comment>
    <comment ref="C172" authorId="0" shapeId="0" xr:uid="{00000000-0006-0000-0100-0000AE010000}">
      <text>
        <r>
          <rPr>
            <sz val="11"/>
            <color theme="1"/>
            <rFont val="Calibri"/>
            <family val="2"/>
            <scheme val="minor"/>
          </rPr>
          <t>Source: Model policy, 2, table Forecast fallback policy, row beta_axis_position; ../../references/source_policy.md; source_id=axis_beta_axis_2_position. Approved 5x5 axis position.</t>
        </r>
      </text>
    </comment>
    <comment ref="D172" authorId="0" shapeId="0" xr:uid="{00000000-0006-0000-0100-0000AF010000}">
      <text>
        <r>
          <rPr>
            <sz val="11"/>
            <color theme="1"/>
            <rFont val="Calibri"/>
            <family val="2"/>
            <scheme val="minor"/>
          </rPr>
          <t>Source: Model policy, 2, table Forecast fallback policy, row beta_axis; ../../references/source_policy.md; source_id=axis_beta_axis_2. Approved 5x5 sensitivity axis; center equals Base case.</t>
        </r>
      </text>
    </comment>
    <comment ref="C173" authorId="0" shapeId="0" xr:uid="{00000000-0006-0000-0100-0000B0010000}">
      <text>
        <r>
          <rPr>
            <sz val="11"/>
            <color theme="1"/>
            <rFont val="Calibri"/>
            <family val="2"/>
            <scheme val="minor"/>
          </rPr>
          <t>Source: Model policy, 3, table Forecast fallback policy, row beta_axis_position; ../../references/source_policy.md; source_id=axis_beta_axis_3_position. Approved 5x5 axis position.</t>
        </r>
      </text>
    </comment>
    <comment ref="D173" authorId="0" shapeId="0" xr:uid="{00000000-0006-0000-0100-0000B1010000}">
      <text>
        <r>
          <rPr>
            <sz val="11"/>
            <color theme="1"/>
            <rFont val="Calibri"/>
            <family val="2"/>
            <scheme val="minor"/>
          </rPr>
          <t>Source: Model policy, 3, table Forecast fallback policy, row beta_axis; ../../references/source_policy.md; source_id=axis_beta_axis_3. Approved 5x5 sensitivity axis; center equals Base case.</t>
        </r>
      </text>
    </comment>
    <comment ref="C174" authorId="0" shapeId="0" xr:uid="{00000000-0006-0000-0100-0000B2010000}">
      <text>
        <r>
          <rPr>
            <sz val="11"/>
            <color theme="1"/>
            <rFont val="Calibri"/>
            <family val="2"/>
            <scheme val="minor"/>
          </rPr>
          <t>Source: Model policy, 4, table Forecast fallback policy, row beta_axis_position; ../../references/source_policy.md; source_id=axis_beta_axis_4_position. Approved 5x5 axis position.</t>
        </r>
      </text>
    </comment>
    <comment ref="D174" authorId="0" shapeId="0" xr:uid="{00000000-0006-0000-0100-0000B3010000}">
      <text>
        <r>
          <rPr>
            <sz val="11"/>
            <color theme="1"/>
            <rFont val="Calibri"/>
            <family val="2"/>
            <scheme val="minor"/>
          </rPr>
          <t>Source: Model policy, 4, table Forecast fallback policy, row beta_axis; ../../references/source_policy.md; source_id=axis_beta_axis_4. Approved 5x5 sensitivity axis; center equals Base case.</t>
        </r>
      </text>
    </comment>
    <comment ref="C175" authorId="0" shapeId="0" xr:uid="{00000000-0006-0000-0100-0000B4010000}">
      <text>
        <r>
          <rPr>
            <sz val="11"/>
            <color theme="1"/>
            <rFont val="Calibri"/>
            <family val="2"/>
            <scheme val="minor"/>
          </rPr>
          <t>Source: Model policy, 5, table Forecast fallback policy, row beta_axis_position; ../../references/source_policy.md; source_id=axis_beta_axis_5_position. Approved 5x5 axis position.</t>
        </r>
      </text>
    </comment>
    <comment ref="D175" authorId="0" shapeId="0" xr:uid="{00000000-0006-0000-0100-0000B5010000}">
      <text>
        <r>
          <rPr>
            <sz val="11"/>
            <color theme="1"/>
            <rFont val="Calibri"/>
            <family val="2"/>
            <scheme val="minor"/>
          </rPr>
          <t>Source: Model policy, 5, table Forecast fallback policy, row beta_axis; ../../references/source_policy.md; source_id=axis_beta_axis_5. Approved 5x5 sensitivity axis; center equals Base case.</t>
        </r>
      </text>
    </comment>
    <comment ref="C176" authorId="0" shapeId="0" xr:uid="{00000000-0006-0000-0100-0000B6010000}">
      <text>
        <r>
          <rPr>
            <sz val="11"/>
            <color theme="1"/>
            <rFont val="Calibri"/>
            <family val="2"/>
            <scheme val="minor"/>
          </rPr>
          <t>Source: Model policy, 1, table Forecast fallback policy, row risk_free_axis_position; ../../references/source_policy.md; source_id=axis_risk_free_axis_1_position. Approved 5x5 axis position.</t>
        </r>
      </text>
    </comment>
    <comment ref="D176" authorId="0" shapeId="0" xr:uid="{00000000-0006-0000-0100-0000B7010000}">
      <text>
        <r>
          <rPr>
            <sz val="11"/>
            <color theme="1"/>
            <rFont val="Calibri"/>
            <family val="2"/>
            <scheme val="minor"/>
          </rPr>
          <t>Source: Model policy, 1, table Forecast fallback policy, row risk_free_axis; ../../references/source_policy.md; source_id=axis_risk_free_axis_1. Approved 5x5 sensitivity axis; center equals Base case.</t>
        </r>
      </text>
    </comment>
    <comment ref="C177" authorId="0" shapeId="0" xr:uid="{00000000-0006-0000-0100-0000B8010000}">
      <text>
        <r>
          <rPr>
            <sz val="11"/>
            <color theme="1"/>
            <rFont val="Calibri"/>
            <family val="2"/>
            <scheme val="minor"/>
          </rPr>
          <t>Source: Model policy, 2, table Forecast fallback policy, row risk_free_axis_position; ../../references/source_policy.md; source_id=axis_risk_free_axis_2_position. Approved 5x5 axis position.</t>
        </r>
      </text>
    </comment>
    <comment ref="D177" authorId="0" shapeId="0" xr:uid="{00000000-0006-0000-0100-0000B9010000}">
      <text>
        <r>
          <rPr>
            <sz val="11"/>
            <color theme="1"/>
            <rFont val="Calibri"/>
            <family val="2"/>
            <scheme val="minor"/>
          </rPr>
          <t>Source: Model policy, 2, table Forecast fallback policy, row risk_free_axis; ../../references/source_policy.md; source_id=axis_risk_free_axis_2. Approved 5x5 sensitivity axis; center equals Base case.</t>
        </r>
      </text>
    </comment>
    <comment ref="C178" authorId="0" shapeId="0" xr:uid="{00000000-0006-0000-0100-0000BA010000}">
      <text>
        <r>
          <rPr>
            <sz val="11"/>
            <color theme="1"/>
            <rFont val="Calibri"/>
            <family val="2"/>
            <scheme val="minor"/>
          </rPr>
          <t>Source: Model policy, 3, table Forecast fallback policy, row risk_free_axis_position; ../../references/source_policy.md; source_id=axis_risk_free_axis_3_position. Approved 5x5 axis position.</t>
        </r>
      </text>
    </comment>
    <comment ref="D178" authorId="0" shapeId="0" xr:uid="{00000000-0006-0000-0100-0000BB010000}">
      <text>
        <r>
          <rPr>
            <sz val="11"/>
            <color theme="1"/>
            <rFont val="Calibri"/>
            <family val="2"/>
            <scheme val="minor"/>
          </rPr>
          <t>Source: Model policy, 3, table Forecast fallback policy, row risk_free_axis; ../../references/source_policy.md; source_id=axis_risk_free_axis_3. Approved 5x5 sensitivity axis; center equals Base case.</t>
        </r>
      </text>
    </comment>
    <comment ref="C179" authorId="0" shapeId="0" xr:uid="{00000000-0006-0000-0100-0000BC010000}">
      <text>
        <r>
          <rPr>
            <sz val="11"/>
            <color theme="1"/>
            <rFont val="Calibri"/>
            <family val="2"/>
            <scheme val="minor"/>
          </rPr>
          <t>Source: Model policy, 4, table Forecast fallback policy, row risk_free_axis_position; ../../references/source_policy.md; source_id=axis_risk_free_axis_4_position. Approved 5x5 axis position.</t>
        </r>
      </text>
    </comment>
    <comment ref="D179" authorId="0" shapeId="0" xr:uid="{00000000-0006-0000-0100-0000BD010000}">
      <text>
        <r>
          <rPr>
            <sz val="11"/>
            <color theme="1"/>
            <rFont val="Calibri"/>
            <family val="2"/>
            <scheme val="minor"/>
          </rPr>
          <t>Source: Model policy, 4, table Forecast fallback policy, row risk_free_axis; ../../references/source_policy.md; source_id=axis_risk_free_axis_4. Approved 5x5 sensitivity axis; center equals Base case.</t>
        </r>
      </text>
    </comment>
    <comment ref="C180" authorId="0" shapeId="0" xr:uid="{00000000-0006-0000-0100-0000BE010000}">
      <text>
        <r>
          <rPr>
            <sz val="11"/>
            <color theme="1"/>
            <rFont val="Calibri"/>
            <family val="2"/>
            <scheme val="minor"/>
          </rPr>
          <t>Source: Model policy, 5, table Forecast fallback policy, row risk_free_axis_position; ../../references/source_policy.md; source_id=axis_risk_free_axis_5_position. Approved 5x5 axis position.</t>
        </r>
      </text>
    </comment>
    <comment ref="D180" authorId="0" shapeId="0" xr:uid="{00000000-0006-0000-0100-0000BF010000}">
      <text>
        <r>
          <rPr>
            <sz val="11"/>
            <color theme="1"/>
            <rFont val="Calibri"/>
            <family val="2"/>
            <scheme val="minor"/>
          </rPr>
          <t>Source: Model policy, 5, table Forecast fallback policy, row risk_free_axis; ../../references/source_policy.md; source_id=axis_risk_free_axis_5. Approved 5x5 sensitivity axis; center equals Base case.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ibd-equity-model</author>
  </authors>
  <commentList>
    <comment ref="B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233, row ending self stores; https://www.sec.gov/Archives/edgar/data/1767582/000110465924044514/lk-20231231x20f.htm; source_id=hist_ending_self_stores_2022A. Official filing value; RMB thousands normalized to RMB mm where applicable.</t>
        </r>
      </text>
    </comment>
    <comment ref="C5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2023A, table 233, row ending self stores; https://www.sec.gov/Archives/edgar/data/1767582/000110465924044514/lk-20231231x20f.htm; source_id=hist_ending_self_stores_2023A. Official filing value; RMB thousands normalized to RMB mm where applicable.</t>
        </r>
      </text>
    </comment>
    <comment ref="D5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223, row ending self stores; https://www.sec.gov/Archives/edgar/data/1767582/000110465926035712/lk-20251231x20f.htm; source_id=hist_ending_self_stores_2024A. Official filing value; RMB thousands normalized to RMB mm where applicable.</t>
        </r>
      </text>
    </comment>
    <comment ref="E5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223, row ending self stores; https://www.sec.gov/Archives/edgar/data/1767582/000110465926035712/lk-20251231x20f.htm; source_id=hist_ending_self_stores_2025A. Official filing value; RMB thousands normalized to RMB mm where applicable.</t>
        </r>
      </text>
    </comment>
    <comment ref="B10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357, row product revenue; https://www.sec.gov/Archives/edgar/data/1767582/000110465924044514/lk-20231231x20f.htm; source_id=hist_product_revenue_2022A. Official filing value; RMB thousands normalized to RMB mm where applicable.</t>
        </r>
      </text>
    </comment>
    <comment ref="C10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2023A, table 345, row product revenue; https://www.sec.gov/Archives/edgar/data/1767582/000110465926035712/lk-20251231x20f.htm; source_id=hist_product_revenue_2023A. Official filing value; RMB thousands normalized to RMB mm where applicable.</t>
        </r>
      </text>
    </comment>
    <comment ref="D10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345, row product revenue; https://www.sec.gov/Archives/edgar/data/1767582/000110465926035712/lk-20251231x20f.htm; source_id=hist_product_revenue_2024A. Official filing value; RMB thousands normalized to RMB mm where applicable.</t>
        </r>
      </text>
    </comment>
    <comment ref="E10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345, row product revenue; https://www.sec.gov/Archives/edgar/data/1767582/000110465926035712/lk-20251231x20f.htm; source_id=hist_product_revenue_2025A. Official filing value; RMB thousands normalized to RMB mm where applicable.</t>
        </r>
      </text>
    </comment>
    <comment ref="B13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233, row ending partnership stores; https://www.sec.gov/Archives/edgar/data/1767582/000110465924044514/lk-20231231x20f.htm; source_id=hist_ending_partnership_stores_2022A. Official filing value; RMB thousands normalized to RMB mm where applicable.</t>
        </r>
      </text>
    </comment>
    <comment ref="C13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2023A, table 233, row ending partnership stores; https://www.sec.gov/Archives/edgar/data/1767582/000110465924044514/lk-20231231x20f.htm; source_id=hist_ending_partnership_stores_2023A. Official filing value; RMB thousands normalized to RMB mm where applicable.</t>
        </r>
      </text>
    </comment>
    <comment ref="D13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223, row ending partnership stores; https://www.sec.gov/Archives/edgar/data/1767582/000110465926035712/lk-20251231x20f.htm; source_id=hist_ending_partnership_stores_2024A. Official filing value; RMB thousands normalized to RMB mm where applicable.</t>
        </r>
      </text>
    </comment>
    <comment ref="E13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223, row ending partnership stores; https://www.sec.gov/Archives/edgar/data/1767582/000110465926035712/lk-20251231x20f.htm; source_id=hist_ending_partnership_stores_2025A. Official filing value; RMB thousands normalized to RMB mm where applicable.</t>
        </r>
      </text>
    </comment>
    <comment ref="B18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357, row partnership revenue; https://www.sec.gov/Archives/edgar/data/1767582/000110465924044514/lk-20231231x20f.htm; source_id=hist_partnership_revenue_2022A. Official filing value; RMB thousands normalized to RMB mm where applicable.</t>
        </r>
      </text>
    </comment>
    <comment ref="C18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2023A, table 345, row partnership revenue; https://www.sec.gov/Archives/edgar/data/1767582/000110465926035712/lk-20251231x20f.htm; source_id=hist_partnership_revenue_2023A. Official filing value; RMB thousands normalized to RMB mm where applicable.</t>
        </r>
      </text>
    </comment>
    <comment ref="D18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345, row partnership revenue; https://www.sec.gov/Archives/edgar/data/1767582/000110465926035712/lk-20251231x20f.htm; source_id=hist_partnership_revenue_2024A. Official filing value; RMB thousands normalized to RMB mm where applicable.</t>
        </r>
      </text>
    </comment>
    <comment ref="E18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345, row partnership revenue; https://www.sec.gov/Archives/edgar/data/1767582/000110465926035712/lk-20251231x20f.htm; source_id=hist_partnership_revenue_2025A. Official filing value; RMB thousands normalized to RMB mm where applicable.</t>
        </r>
      </text>
    </comment>
    <comment ref="B2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233, row q4 monthly customers; https://www.sec.gov/Archives/edgar/data/1767582/000110465924044514/lk-20231231x20f.htm; source_id=hist_q4_monthly_customers_2022A. Official filing value; RMB thousands normalized to RMB mm where applicable.</t>
        </r>
      </text>
    </comment>
    <comment ref="C2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2023A, table 233, row q4 monthly customers; https://www.sec.gov/Archives/edgar/data/1767582/000110465924044514/lk-20231231x20f.htm; source_id=hist_q4_monthly_customers_2023A. Official filing value; RMB thousands normalized to RMB mm where applicable.</t>
        </r>
      </text>
    </comment>
    <comment ref="D2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223, row q4 monthly customers; https://www.sec.gov/Archives/edgar/data/1767582/000110465926035712/lk-20251231x20f.htm; source_id=hist_q4_monthly_customers_2024A. Official filing value; RMB thousands normalized to RMB mm where applicable.</t>
        </r>
      </text>
    </comment>
    <comment ref="E24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223, row q4 monthly customers; https://www.sec.gov/Archives/edgar/data/1767582/000110465926035712/lk-20251231x20f.htm; source_id=hist_q4_monthly_customers_2025A. Official filing value; RMB thousands normalized to RMB mm where applicable.</t>
        </r>
      </text>
    </comment>
    <comment ref="B27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357, row materials; https://www.sec.gov/Archives/edgar/data/1767582/000110465924044514/lk-20231231x20f.htm; source_id=hist_materials_2022A. Official filing value; RMB thousands normalized to RMB mm where applicable.</t>
        </r>
      </text>
    </comment>
    <comment ref="C27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2023A, table 345, row materials; https://www.sec.gov/Archives/edgar/data/1767582/000110465926035712/lk-20251231x20f.htm; source_id=hist_materials_2023A. Official filing value; RMB thousands normalized to RMB mm where applicable.</t>
        </r>
      </text>
    </comment>
    <comment ref="D27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345, row materials; https://www.sec.gov/Archives/edgar/data/1767582/000110465926035712/lk-20251231x20f.htm; source_id=hist_materials_2024A. Official filing value; RMB thousands normalized to RMB mm where applicable.</t>
        </r>
      </text>
    </comment>
    <comment ref="E27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345, row materials; https://www.sec.gov/Archives/edgar/data/1767582/000110465926035712/lk-20251231x20f.htm; source_id=hist_materials_2025A. Official filing value; RMB thousands normalized to RMB mm where applicable.</t>
        </r>
      </text>
    </comment>
    <comment ref="B29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357, row rent store ops; https://www.sec.gov/Archives/edgar/data/1767582/000110465924044514/lk-20231231x20f.htm; source_id=hist_rent_store_ops_2022A. Official filing value; RMB thousands normalized to RMB mm where applicable.</t>
        </r>
      </text>
    </comment>
    <comment ref="C29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2023A, table 345, row rent store ops; https://www.sec.gov/Archives/edgar/data/1767582/000110465926035712/lk-20251231x20f.htm; source_id=hist_rent_store_ops_2023A. Official filing value; RMB thousands normalized to RMB mm where applicable.</t>
        </r>
      </text>
    </comment>
    <comment ref="D29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345, row rent store ops; https://www.sec.gov/Archives/edgar/data/1767582/000110465926035712/lk-20251231x20f.htm; source_id=hist_rent_store_ops_2024A. Official filing value; RMB thousands normalized to RMB mm where applicable.</t>
        </r>
      </text>
    </comment>
    <comment ref="E29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345, row rent store ops; https://www.sec.gov/Archives/edgar/data/1767582/000110465926035712/lk-20251231x20f.htm; source_id=hist_rent_store_ops_2025A. Official filing value; RMB thousands normalized to RMB mm where applicable.</t>
        </r>
      </text>
    </comment>
    <comment ref="B31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357, row da; https://www.sec.gov/Archives/edgar/data/1767582/000110465924044514/lk-20231231x20f.htm; source_id=hist_da_2022A. Official filing value; RMB thousands normalized to RMB mm where applicable.</t>
        </r>
      </text>
    </comment>
    <comment ref="C31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2023A, table 345, row da; https://www.sec.gov/Archives/edgar/data/1767582/000110465926035712/lk-20251231x20f.htm; source_id=hist_da_2023A. Official filing value; RMB thousands normalized to RMB mm where applicable.</t>
        </r>
      </text>
    </comment>
    <comment ref="D31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345, row da; https://www.sec.gov/Archives/edgar/data/1767582/000110465926035712/lk-20251231x20f.htm; source_id=hist_da_2024A. Official filing value; RMB thousands normalized to RMB mm where applicable.</t>
        </r>
      </text>
    </comment>
    <comment ref="E31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345, row da; https://www.sec.gov/Archives/edgar/data/1767582/000110465926035712/lk-20251231x20f.htm; source_id=hist_da_2025A. Official filing value; RMB thousands normalized to RMB mm where applicable.</t>
        </r>
      </text>
    </comment>
    <comment ref="B33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357, row delivery; https://www.sec.gov/Archives/edgar/data/1767582/000110465924044514/lk-20231231x20f.htm; source_id=hist_delivery_2022A. Official filing value; RMB thousands normalized to RMB mm where applicable.</t>
        </r>
      </text>
    </comment>
    <comment ref="C33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2023A, table 345, row delivery; https://www.sec.gov/Archives/edgar/data/1767582/000110465926035712/lk-20251231x20f.htm; source_id=hist_delivery_2023A. Official filing value; RMB thousands normalized to RMB mm where applicable.</t>
        </r>
      </text>
    </comment>
    <comment ref="D33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345, row delivery; https://www.sec.gov/Archives/edgar/data/1767582/000110465926035712/lk-20251231x20f.htm; source_id=hist_delivery_2024A. Official filing value; RMB thousands normalized to RMB mm where applicable.</t>
        </r>
      </text>
    </comment>
    <comment ref="E33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345, row delivery; https://www.sec.gov/Archives/edgar/data/1767582/000110465926035712/lk-20251231x20f.htm; source_id=hist_delivery_2025A. Official filing value; RMB thousands normalized to RMB mm where applicable.</t>
        </r>
      </text>
    </comment>
    <comment ref="B35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357, row sales marketing; https://www.sec.gov/Archives/edgar/data/1767582/000110465924044514/lk-20231231x20f.htm; source_id=hist_sales_marketing_2022A. Official filing value; RMB thousands normalized to RMB mm where applicable.</t>
        </r>
      </text>
    </comment>
    <comment ref="C35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2023A, table 345, row sales marketing; https://www.sec.gov/Archives/edgar/data/1767582/000110465926035712/lk-20251231x20f.htm; source_id=hist_sales_marketing_2023A. Official filing value; RMB thousands normalized to RMB mm where applicable.</t>
        </r>
      </text>
    </comment>
    <comment ref="D35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345, row sales marketing; https://www.sec.gov/Archives/edgar/data/1767582/000110465926035712/lk-20251231x20f.htm; source_id=hist_sales_marketing_2024A. Official filing value; RMB thousands normalized to RMB mm where applicable.</t>
        </r>
      </text>
    </comment>
    <comment ref="E35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345, row sales marketing; https://www.sec.gov/Archives/edgar/data/1767582/000110465926035712/lk-20251231x20f.htm; source_id=hist_sales_marketing_2025A. Official filing value; RMB thousands normalized to RMB mm where applicable.</t>
        </r>
      </text>
    </comment>
    <comment ref="B37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357, row ga; https://www.sec.gov/Archives/edgar/data/1767582/000110465924044514/lk-20231231x20f.htm; source_id=hist_ga_2022A. Official filing value; RMB thousands normalized to RMB mm where applicable.</t>
        </r>
      </text>
    </comment>
    <comment ref="C37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2023A, table 345, row ga; https://www.sec.gov/Archives/edgar/data/1767582/000110465926035712/lk-20251231x20f.htm; source_id=hist_ga_2023A. Official filing value; RMB thousands normalized to RMB mm where applicable.</t>
        </r>
      </text>
    </comment>
    <comment ref="D37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345, row ga; https://www.sec.gov/Archives/edgar/data/1767582/000110465926035712/lk-20251231x20f.htm; source_id=hist_ga_2024A. Official filing value; RMB thousands normalized to RMB mm where applicable.</t>
        </r>
      </text>
    </comment>
    <comment ref="E37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345, row ga; https://www.sec.gov/Archives/edgar/data/1767582/000110465926035712/lk-20251231x20f.htm; source_id=hist_ga_2025A. Official filing value; RMB thousands normalized to RMB mm where applicable.</t>
        </r>
      </text>
    </comment>
    <comment ref="B39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357, row other opex; https://www.sec.gov/Archives/edgar/data/1767582/000110465924044514/lk-20231231x20f.htm; source_id=hist_other_opex_2022A. Official filing value; RMB thousands normalized to RMB mm where applicable.</t>
        </r>
      </text>
    </comment>
    <comment ref="C39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2023A, table 345, row other opex; https://www.sec.gov/Archives/edgar/data/1767582/000110465926035712/lk-20251231x20f.htm; source_id=hist_other_opex_2023A. Official filing value; RMB thousands normalized to RMB mm where applicable.</t>
        </r>
      </text>
    </comment>
    <comment ref="D39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345, row other opex; https://www.sec.gov/Archives/edgar/data/1767582/000110465926035712/lk-20251231x20f.htm; source_id=hist_other_opex_2024A. Official filing value; RMB thousands normalized to RMB mm where applicable.</t>
        </r>
      </text>
    </comment>
    <comment ref="E39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345, row other opex; https://www.sec.gov/Archives/edgar/data/1767582/000110465926035712/lk-20251231x20f.htm; source_id=hist_other_opex_2025A. Official filing value; RMB thousands normalized to RMB mm where applicable.</t>
        </r>
      </text>
    </comment>
    <comment ref="B48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357, row net nonoperating; https://www.sec.gov/Archives/edgar/data/1767582/000110465924044514/lk-20231231x20f.htm; source_id=hist_net_nonoperating_2022A. Official filing value; RMB thousands normalized to RMB mm where applicable.</t>
        </r>
      </text>
    </comment>
    <comment ref="C48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2023A, table 345, row net nonoperating; https://www.sec.gov/Archives/edgar/data/1767582/000110465926035712/lk-20251231x20f.htm; source_id=hist_net_nonoperating_2023A. Official filing value; RMB thousands normalized to RMB mm where applicable.</t>
        </r>
      </text>
    </comment>
    <comment ref="D48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345, row net nonoperating; https://www.sec.gov/Archives/edgar/data/1767582/000110465926035712/lk-20251231x20f.htm; source_id=hist_net_nonoperating_2024A. Official filing value; RMB thousands normalized to RMB mm where applicable.</t>
        </r>
      </text>
    </comment>
    <comment ref="E48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345, row net nonoperating; https://www.sec.gov/Archives/edgar/data/1767582/000110465926035712/lk-20251231x20f.htm; source_id=hist_net_nonoperating_2025A. Official filing value; RMB thousands normalized to RMB mm where applicable.</t>
        </r>
      </text>
    </comment>
    <comment ref="B50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357, row tax; https://www.sec.gov/Archives/edgar/data/1767582/000110465924044514/lk-20231231x20f.htm; source_id=hist_tax_2022A. Official filing value; RMB thousands normalized to RMB mm where applicable.</t>
        </r>
      </text>
    </comment>
    <comment ref="C50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2023A, table 345, row tax; https://www.sec.gov/Archives/edgar/data/1767582/000110465926035712/lk-20251231x20f.htm; source_id=hist_tax_2023A. Official filing value; RMB thousands normalized to RMB mm where applicable.</t>
        </r>
      </text>
    </comment>
    <comment ref="D50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345, row tax; https://www.sec.gov/Archives/edgar/data/1767582/000110465926035712/lk-20251231x20f.htm; source_id=hist_tax_2024A. Official filing value; RMB thousands normalized to RMB mm where applicable.</t>
        </r>
      </text>
    </comment>
    <comment ref="E50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345, row tax; https://www.sec.gov/Archives/edgar/data/1767582/000110465926035712/lk-20251231x20f.htm; source_id=hist_tax_2025A. Official filing value; RMB thousands normalized to RMB mm where applicable.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ibd-equity-model</author>
  </authors>
  <commentList>
    <comment ref="B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355/356, row cash restricted; https://www.sec.gov/Archives/edgar/data/1767582/000110465924044514/lk-20231231x20f.htm; source_id=hist_cash_restricted_2022A. Grouped from the named official balance-sheet rows; see SOURCE_SNAPSHOT.md.</t>
        </r>
      </text>
    </comment>
    <comment ref="C5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2023A, table 355/356, row cash restricted; https://www.sec.gov/Archives/edgar/data/1767582/000110465924044514/lk-20231231x20f.htm; source_id=hist_cash_restricted_2023A. Grouped from the named official balance-sheet rows; see SOURCE_SNAPSHOT.md.</t>
        </r>
      </text>
    </comment>
    <comment ref="D5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343/344, row cash restricted; https://www.sec.gov/Archives/edgar/data/1767582/000110465926035712/lk-20251231x20f.htm; source_id=hist_cash_restricted_2024A. Grouped from the named official balance-sheet rows; see SOURCE_SNAPSHOT.md.</t>
        </r>
      </text>
    </comment>
    <comment ref="E5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343/344, row cash restricted; https://www.sec.gov/Archives/edgar/data/1767582/000110465926035712/lk-20251231x20f.htm; source_id=hist_cash_restricted_2025A. Grouped from the named official balance-sheet rows; see SOURCE_SNAPSHOT.md.</t>
        </r>
      </text>
    </comment>
    <comment ref="B8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355/356, row liquid investments; https://www.sec.gov/Archives/edgar/data/1767582/000110465924044514/lk-20231231x20f.htm; source_id=hist_liquid_investments_2022A. Grouped from the named official balance-sheet rows; see SOURCE_SNAPSHOT.md.</t>
        </r>
      </text>
    </comment>
    <comment ref="C8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2023A, table 355/356, row liquid investments; https://www.sec.gov/Archives/edgar/data/1767582/000110465924044514/lk-20231231x20f.htm; source_id=hist_liquid_investments_2023A. Grouped from the named official balance-sheet rows; see SOURCE_SNAPSHOT.md.</t>
        </r>
      </text>
    </comment>
    <comment ref="D8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343/344, row liquid investments; https://www.sec.gov/Archives/edgar/data/1767582/000110465926035712/lk-20251231x20f.htm; source_id=hist_liquid_investments_2024A. Grouped from the named official balance-sheet rows; see SOURCE_SNAPSHOT.md.</t>
        </r>
      </text>
    </comment>
    <comment ref="E8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343/344, row liquid investments; https://www.sec.gov/Archives/edgar/data/1767582/000110465926035712/lk-20251231x20f.htm; source_id=hist_liquid_investments_2025A. Grouped from the named official balance-sheet rows; see SOURCE_SNAPSHOT.md.</t>
        </r>
      </text>
    </comment>
    <comment ref="B1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355/356, row operating current assets; https://www.sec.gov/Archives/edgar/data/1767582/000110465924044514/lk-20231231x20f.htm; source_id=hist_operating_current_assets_2022A. Grouped from the named official balance-sheet rows; see SOURCE_SNAPSHOT.md.</t>
        </r>
      </text>
    </comment>
    <comment ref="C1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2023A, table 355/356, row operating current assets; https://www.sec.gov/Archives/edgar/data/1767582/000110465924044514/lk-20231231x20f.htm; source_id=hist_operating_current_assets_2023A. Grouped from the named official balance-sheet rows; see SOURCE_SNAPSHOT.md.</t>
        </r>
      </text>
    </comment>
    <comment ref="D11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343/344, row operating current assets; https://www.sec.gov/Archives/edgar/data/1767582/000110465926035712/lk-20251231x20f.htm; source_id=hist_operating_current_assets_2024A. Grouped from the named official balance-sheet rows; see SOURCE_SNAPSHOT.md.</t>
        </r>
      </text>
    </comment>
    <comment ref="E11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343/344, row operating current assets; https://www.sec.gov/Archives/edgar/data/1767582/000110465926035712/lk-20251231x20f.htm; source_id=hist_operating_current_assets_2025A. Grouped from the named official balance-sheet rows; see SOURCE_SNAPSHOT.md.</t>
        </r>
      </text>
    </comment>
    <comment ref="B14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355/356, row ppe; https://www.sec.gov/Archives/edgar/data/1767582/000110465924044514/lk-20231231x20f.htm; source_id=hist_ppe_2022A. Grouped from the named official balance-sheet rows; see SOURCE_SNAPSHOT.md.</t>
        </r>
      </text>
    </comment>
    <comment ref="C14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2023A, table 355/356, row ppe; https://www.sec.gov/Archives/edgar/data/1767582/000110465924044514/lk-20231231x20f.htm; source_id=hist_ppe_2023A. Grouped from the named official balance-sheet rows; see SOURCE_SNAPSHOT.md.</t>
        </r>
      </text>
    </comment>
    <comment ref="D14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343/344, row ppe; https://www.sec.gov/Archives/edgar/data/1767582/000110465926035712/lk-20251231x20f.htm; source_id=hist_ppe_2024A. Grouped from the named official balance-sheet rows; see SOURCE_SNAPSHOT.md.</t>
        </r>
      </text>
    </comment>
    <comment ref="E14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343/344, row ppe; https://www.sec.gov/Archives/edgar/data/1767582/000110465926035712/lk-20251231x20f.htm; source_id=hist_ppe_2025A. Grouped from the named official balance-sheet rows; see SOURCE_SNAPSHOT.md.</t>
        </r>
      </text>
    </comment>
    <comment ref="B17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355/356, row rou assets; https://www.sec.gov/Archives/edgar/data/1767582/000110465924044514/lk-20231231x20f.htm; source_id=hist_rou_assets_2022A. Grouped from the named official balance-sheet rows; see SOURCE_SNAPSHOT.md.</t>
        </r>
      </text>
    </comment>
    <comment ref="C17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2023A, table 355/356, row rou assets; https://www.sec.gov/Archives/edgar/data/1767582/000110465924044514/lk-20231231x20f.htm; source_id=hist_rou_assets_2023A. Grouped from the named official balance-sheet rows; see SOURCE_SNAPSHOT.md.</t>
        </r>
      </text>
    </comment>
    <comment ref="D17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343/344, row rou assets; https://www.sec.gov/Archives/edgar/data/1767582/000110465926035712/lk-20251231x20f.htm; source_id=hist_rou_assets_2024A. Grouped from the named official balance-sheet rows; see SOURCE_SNAPSHOT.md.</t>
        </r>
      </text>
    </comment>
    <comment ref="E17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343/344, row rou assets; https://www.sec.gov/Archives/edgar/data/1767582/000110465926035712/lk-20251231x20f.htm; source_id=hist_rou_assets_2025A. Grouped from the named official balance-sheet rows; see SOURCE_SNAPSHOT.md.</t>
        </r>
      </text>
    </comment>
    <comment ref="B20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355/356, row other noncurrent assets; https://www.sec.gov/Archives/edgar/data/1767582/000110465924044514/lk-20231231x20f.htm; source_id=hist_other_noncurrent_assets_2022A. Grouped from the named official balance-sheet rows; see SOURCE_SNAPSHOT.md.</t>
        </r>
      </text>
    </comment>
    <comment ref="C20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2023A, table 355/356, row other noncurrent assets; https://www.sec.gov/Archives/edgar/data/1767582/000110465924044514/lk-20231231x20f.htm; source_id=hist_other_noncurrent_assets_2023A. Grouped from the named official balance-sheet rows; see SOURCE_SNAPSHOT.md.</t>
        </r>
      </text>
    </comment>
    <comment ref="D20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343/344, row other noncurrent assets; https://www.sec.gov/Archives/edgar/data/1767582/000110465926035712/lk-20251231x20f.htm; source_id=hist_other_noncurrent_assets_2024A. Grouped from the named official balance-sheet rows; see SOURCE_SNAPSHOT.md.</t>
        </r>
      </text>
    </comment>
    <comment ref="E20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343/344, row other noncurrent assets; https://www.sec.gov/Archives/edgar/data/1767582/000110465926035712/lk-20251231x20f.htm; source_id=hist_other_noncurrent_assets_2025A. Grouped from the named official balance-sheet rows; see SOURCE_SNAPSHOT.md.</t>
        </r>
      </text>
    </comment>
    <comment ref="B27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355/356, row operating current liabilities; https://www.sec.gov/Archives/edgar/data/1767582/000110465924044514/lk-20231231x20f.htm; source_id=hist_operating_current_liabilities_2022A. Grouped from the named official balance-sheet rows; see SOURCE_SNAPSHOT.md.</t>
        </r>
      </text>
    </comment>
    <comment ref="C27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2023A, table 355/356, row operating current liabilities; https://www.sec.gov/Archives/edgar/data/1767582/000110465924044514/lk-20231231x20f.htm; source_id=hist_operating_current_liabilities_2023A. Grouped from the named official balance-sheet rows; see SOURCE_SNAPSHOT.md.</t>
        </r>
      </text>
    </comment>
    <comment ref="D27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343/344, row operating current liabilities; https://www.sec.gov/Archives/edgar/data/1767582/000110465926035712/lk-20251231x20f.htm; source_id=hist_operating_current_liabilities_2024A. Grouped from the named official balance-sheet rows; see SOURCE_SNAPSHOT.md.</t>
        </r>
      </text>
    </comment>
    <comment ref="E27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343/344, row operating current liabilities; https://www.sec.gov/Archives/edgar/data/1767582/000110465926035712/lk-20251231x20f.htm; source_id=hist_operating_current_liabilities_2025A. Grouped from the named official balance-sheet rows; see SOURCE_SNAPSHOT.md.</t>
        </r>
      </text>
    </comment>
    <comment ref="B30" authorId="0" shapeId="0" xr:uid="{00000000-0006-0000-0300-00001D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355/356, row lease liabilities; https://www.sec.gov/Archives/edgar/data/1767582/000110465924044514/lk-20231231x20f.htm; source_id=hist_lease_liabilities_2022A. Grouped from the named official balance-sheet rows; see SOURCE_SNAPSHOT.md.</t>
        </r>
      </text>
    </comment>
    <comment ref="C30" authorId="0" shapeId="0" xr:uid="{00000000-0006-0000-0300-00001E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2023A, table 355/356, row lease liabilities; https://www.sec.gov/Archives/edgar/data/1767582/000110465924044514/lk-20231231x20f.htm; source_id=hist_lease_liabilities_2023A. Grouped from the named official balance-sheet rows; see SOURCE_SNAPSHOT.md.</t>
        </r>
      </text>
    </comment>
    <comment ref="D30" authorId="0" shapeId="0" xr:uid="{00000000-0006-0000-0300-00001F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343/344, row lease liabilities; https://www.sec.gov/Archives/edgar/data/1767582/000110465926035712/lk-20251231x20f.htm; source_id=hist_lease_liabilities_2024A. Grouped from the named official balance-sheet rows; see SOURCE_SNAPSHOT.md.</t>
        </r>
      </text>
    </comment>
    <comment ref="E30" authorId="0" shapeId="0" xr:uid="{00000000-0006-0000-0300-000020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343/344, row lease liabilities; https://www.sec.gov/Archives/edgar/data/1767582/000110465926035712/lk-20251231x20f.htm; source_id=hist_lease_liabilities_2025A. Grouped from the named official balance-sheet rows; see SOURCE_SNAPSHOT.md.</t>
        </r>
      </text>
    </comment>
    <comment ref="B33" authorId="0" shapeId="0" xr:uid="{00000000-0006-0000-0300-000021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355/356, row debt; https://www.sec.gov/Archives/edgar/data/1767582/000110465924044514/lk-20231231x20f.htm; source_id=hist_debt_2022A. Grouped from the named official balance-sheet rows; see SOURCE_SNAPSHOT.md.</t>
        </r>
      </text>
    </comment>
    <comment ref="C33" authorId="0" shapeId="0" xr:uid="{00000000-0006-0000-0300-000022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2023A, table 355/356, row debt; https://www.sec.gov/Archives/edgar/data/1767582/000110465924044514/lk-20231231x20f.htm; source_id=hist_debt_2023A. Grouped from the named official balance-sheet rows; see SOURCE_SNAPSHOT.md.</t>
        </r>
      </text>
    </comment>
    <comment ref="D33" authorId="0" shapeId="0" xr:uid="{00000000-0006-0000-0300-000023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343/344, row debt; https://www.sec.gov/Archives/edgar/data/1767582/000110465926035712/lk-20251231x20f.htm; source_id=hist_debt_2024A. Grouped from the named official balance-sheet rows; see SOURCE_SNAPSHOT.md.</t>
        </r>
      </text>
    </comment>
    <comment ref="E33" authorId="0" shapeId="0" xr:uid="{00000000-0006-0000-0300-000024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343/344, row debt; https://www.sec.gov/Archives/edgar/data/1767582/000110465926035712/lk-20251231x20f.htm; source_id=hist_debt_2025A. Grouped from the named official balance-sheet rows; see SOURCE_SNAPSHOT.md.</t>
        </r>
      </text>
    </comment>
    <comment ref="B35" authorId="0" shapeId="0" xr:uid="{00000000-0006-0000-0300-000025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355/356, row other noncurrent liabilities; https://www.sec.gov/Archives/edgar/data/1767582/000110465924044514/lk-20231231x20f.htm; source_id=hist_other_noncurrent_liabilities_2022A. Grouped from the named official balance-sheet rows; see SOURCE_SNAPSHOT.md.</t>
        </r>
      </text>
    </comment>
    <comment ref="C35" authorId="0" shapeId="0" xr:uid="{00000000-0006-0000-0300-000026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2023A, table 355/356, row other noncurrent liabilities; https://www.sec.gov/Archives/edgar/data/1767582/000110465924044514/lk-20231231x20f.htm; source_id=hist_other_noncurrent_liabilities_2023A. Grouped from the named official balance-sheet rows; see SOURCE_SNAPSHOT.md.</t>
        </r>
      </text>
    </comment>
    <comment ref="D35" authorId="0" shapeId="0" xr:uid="{00000000-0006-0000-0300-000027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343/344, row other noncurrent liabilities; https://www.sec.gov/Archives/edgar/data/1767582/000110465926035712/lk-20251231x20f.htm; source_id=hist_other_noncurrent_liabilities_2024A. Grouped from the named official balance-sheet rows; see SOURCE_SNAPSHOT.md.</t>
        </r>
      </text>
    </comment>
    <comment ref="E35" authorId="0" shapeId="0" xr:uid="{00000000-0006-0000-0300-000028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343/344, row other noncurrent liabilities; https://www.sec.gov/Archives/edgar/data/1767582/000110465926035712/lk-20251231x20f.htm; source_id=hist_other_noncurrent_liabilities_2025A. Grouped from the named official balance-sheet rows; see SOURCE_SNAPSHOT.md.</t>
        </r>
      </text>
    </comment>
    <comment ref="B42" authorId="0" shapeId="0" xr:uid="{00000000-0006-0000-0300-000029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355/356, row mezzanine equity; https://www.sec.gov/Archives/edgar/data/1767582/000110465924044514/lk-20231231x20f.htm; source_id=hist_mezzanine_equity_2022A. Grouped from the named official balance-sheet rows; see SOURCE_SNAPSHOT.md.</t>
        </r>
      </text>
    </comment>
    <comment ref="C42" authorId="0" shapeId="0" xr:uid="{00000000-0006-0000-0300-00002A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2023A, table 355/356, row mezzanine equity; https://www.sec.gov/Archives/edgar/data/1767582/000110465924044514/lk-20231231x20f.htm; source_id=hist_mezzanine_equity_2023A. Grouped from the named official balance-sheet rows; see SOURCE_SNAPSHOT.md.</t>
        </r>
      </text>
    </comment>
    <comment ref="D42" authorId="0" shapeId="0" xr:uid="{00000000-0006-0000-0300-00002B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343/344, row mezzanine equity; https://www.sec.gov/Archives/edgar/data/1767582/000110465926035712/lk-20251231x20f.htm; source_id=hist_mezzanine_equity_2024A. Grouped from the named official balance-sheet rows; see SOURCE_SNAPSHOT.md.</t>
        </r>
      </text>
    </comment>
    <comment ref="E42" authorId="0" shapeId="0" xr:uid="{00000000-0006-0000-0300-00002C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343/344, row mezzanine equity; https://www.sec.gov/Archives/edgar/data/1767582/000110465926035712/lk-20251231x20f.htm; source_id=hist_mezzanine_equity_2025A. Grouped from the named official balance-sheet rows; see SOURCE_SNAPSHOT.md.</t>
        </r>
      </text>
    </comment>
    <comment ref="B44" authorId="0" shapeId="0" xr:uid="{00000000-0006-0000-0300-00002D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355/356, row common equity; https://www.sec.gov/Archives/edgar/data/1767582/000110465924044514/lk-20231231x20f.htm; source_id=hist_common_equity_2022A. Grouped from the named official balance-sheet rows; see SOURCE_SNAPSHOT.md.</t>
        </r>
      </text>
    </comment>
    <comment ref="C44" authorId="0" shapeId="0" xr:uid="{00000000-0006-0000-0300-00002E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2023A, table 355/356, row common equity; https://www.sec.gov/Archives/edgar/data/1767582/000110465924044514/lk-20231231x20f.htm; source_id=hist_common_equity_2023A. Grouped from the named official balance-sheet rows; see SOURCE_SNAPSHOT.md.</t>
        </r>
      </text>
    </comment>
    <comment ref="D44" authorId="0" shapeId="0" xr:uid="{00000000-0006-0000-0300-00002F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343/344, row common equity; https://www.sec.gov/Archives/edgar/data/1767582/000110465926035712/lk-20251231x20f.htm; source_id=hist_common_equity_2024A. Grouped from the named official balance-sheet rows; see SOURCE_SNAPSHOT.md.</t>
        </r>
      </text>
    </comment>
    <comment ref="E44" authorId="0" shapeId="0" xr:uid="{00000000-0006-0000-0300-000030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343/344, row common equity; https://www.sec.gov/Archives/edgar/data/1767582/000110465926035712/lk-20251231x20f.htm; source_id=hist_common_equity_2025A. Grouped from the named official balance-sheet rows; see SOURCE_SNAPSHOT.md.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ibd-equity-model</author>
  </authors>
  <commentList>
    <comment ref="B8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359, row cfo; https://www.sec.gov/Archives/edgar/data/1767582/000110465924044514/lk-20231231x20f.htm; source_id=hist_cfo_2022A. Official consolidated cash-flow value; RMB thousands normalized to RMB mm.</t>
        </r>
      </text>
    </comment>
    <comment ref="C8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2023A, table 347, row cfo; https://www.sec.gov/Archives/edgar/data/1767582/000110465926035712/lk-20251231x20f.htm; source_id=hist_cfo_2023A. Official consolidated cash-flow value; RMB thousands normalized to RMB mm.</t>
        </r>
      </text>
    </comment>
    <comment ref="D8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347, row cfo; https://www.sec.gov/Archives/edgar/data/1767582/000110465926035712/lk-20251231x20f.htm; source_id=hist_cfo_2024A. Official consolidated cash-flow value; RMB thousands normalized to RMB mm.</t>
        </r>
      </text>
    </comment>
    <comment ref="E8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347, row cfo; https://www.sec.gov/Archives/edgar/data/1767582/000110465926035712/lk-20251231x20f.htm; source_id=hist_cfo_2025A. Official consolidated cash-flow value; RMB thousands normalized to RMB mm.</t>
        </r>
      </text>
    </comment>
    <comment ref="B12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359, row capex; https://www.sec.gov/Archives/edgar/data/1767582/000110465924044514/lk-20231231x20f.htm; source_id=hist_capex_2022A. Official consolidated cash-flow value; RMB thousands normalized to RMB mm.</t>
        </r>
      </text>
    </comment>
    <comment ref="C12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2023A, table 347, row capex; https://www.sec.gov/Archives/edgar/data/1767582/000110465926035712/lk-20251231x20f.htm; source_id=hist_capex_2023A. Official consolidated cash-flow value; RMB thousands normalized to RMB mm.</t>
        </r>
      </text>
    </comment>
    <comment ref="D12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347, row capex; https://www.sec.gov/Archives/edgar/data/1767582/000110465926035712/lk-20251231x20f.htm; source_id=hist_capex_2024A. Official consolidated cash-flow value; RMB thousands normalized to RMB mm.</t>
        </r>
      </text>
    </comment>
    <comment ref="E12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347, row capex; https://www.sec.gov/Archives/edgar/data/1767582/000110465926035712/lk-20251231x20f.htm; source_id=hist_capex_2025A. Official consolidated cash-flow value; RMB thousands normalized to RMB mm.</t>
        </r>
      </text>
    </comment>
    <comment ref="B14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359, row cfi; https://www.sec.gov/Archives/edgar/data/1767582/000110465924044514/lk-20231231x20f.htm; source_id=hist_cfi_2022A. Official consolidated cash-flow value; RMB thousands normalized to RMB mm.</t>
        </r>
      </text>
    </comment>
    <comment ref="C14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2023A, table 347, row cfi; https://www.sec.gov/Archives/edgar/data/1767582/000110465926035712/lk-20251231x20f.htm; source_id=hist_cfi_2023A. Official consolidated cash-flow value; RMB thousands normalized to RMB mm.</t>
        </r>
      </text>
    </comment>
    <comment ref="D14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347, row cfi; https://www.sec.gov/Archives/edgar/data/1767582/000110465926035712/lk-20251231x20f.htm; source_id=hist_cfi_2024A. Official consolidated cash-flow value; RMB thousands normalized to RMB mm.</t>
        </r>
      </text>
    </comment>
    <comment ref="E14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347, row cfi; https://www.sec.gov/Archives/edgar/data/1767582/000110465926035712/lk-20251231x20f.htm; source_id=hist_cfi_2025A. Official consolidated cash-flow value; RMB thousands normalized to RMB mm.</t>
        </r>
      </text>
    </comment>
    <comment ref="B18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359, row cff; https://www.sec.gov/Archives/edgar/data/1767582/000110465924044514/lk-20231231x20f.htm; source_id=hist_cff_2022A. Official consolidated cash-flow value; RMB thousands normalized to RMB mm.</t>
        </r>
      </text>
    </comment>
    <comment ref="C18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2023A, table 347, row cff; https://www.sec.gov/Archives/edgar/data/1767582/000110465926035712/lk-20251231x20f.htm; source_id=hist_cff_2023A. Official consolidated cash-flow value; RMB thousands normalized to RMB mm.</t>
        </r>
      </text>
    </comment>
    <comment ref="D18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347, row cff; https://www.sec.gov/Archives/edgar/data/1767582/000110465926035712/lk-20251231x20f.htm; source_id=hist_cff_2024A. Official consolidated cash-flow value; RMB thousands normalized to RMB mm.</t>
        </r>
      </text>
    </comment>
    <comment ref="E18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347, row cff; https://www.sec.gov/Archives/edgar/data/1767582/000110465926035712/lk-20251231x20f.htm; source_id=hist_cff_2025A. Official consolidated cash-flow value; RMB thousands normalized to RMB mm.</t>
        </r>
      </text>
    </comment>
    <comment ref="B20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359, row fx effect; https://www.sec.gov/Archives/edgar/data/1767582/000110465924044514/lk-20231231x20f.htm; source_id=hist_fx_effect_2022A. Official consolidated cash-flow value; RMB thousands normalized to RMB mm.</t>
        </r>
      </text>
    </comment>
    <comment ref="C20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2023A, table 347, row fx effect; https://www.sec.gov/Archives/edgar/data/1767582/000110465926035712/lk-20251231x20f.htm; source_id=hist_fx_effect_2023A. Official consolidated cash-flow value; RMB thousands normalized to RMB mm.</t>
        </r>
      </text>
    </comment>
    <comment ref="D20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347, row fx effect; https://www.sec.gov/Archives/edgar/data/1767582/000110465926035712/lk-20251231x20f.htm; source_id=hist_fx_effect_2024A. Official consolidated cash-flow value; RMB thousands normalized to RMB mm.</t>
        </r>
      </text>
    </comment>
    <comment ref="E20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347, row fx effect; https://www.sec.gov/Archives/edgar/data/1767582/000110465926035712/lk-20251231x20f.htm; source_id=hist_fx_effect_2025A. Official consolidated cash-flow value; RMB thousands normalized to RMB mm.</t>
        </r>
      </text>
    </comment>
    <comment ref="B22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359, row beginning cash; https://www.sec.gov/Archives/edgar/data/1767582/000110465924044514/lk-20231231x20f.htm; source_id=hist_beginning_cash_2022A. Official consolidated cash-flow value; RMB thousands normalized to RMB mm.</t>
        </r>
      </text>
    </comment>
    <comment ref="C22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2023A, table 347, row beginning cash; https://www.sec.gov/Archives/edgar/data/1767582/000110465926035712/lk-20251231x20f.htm; source_id=hist_beginning_cash_2023A. Official consolidated cash-flow value; RMB thousands normalized to RMB mm.</t>
        </r>
      </text>
    </comment>
    <comment ref="D22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347, row beginning cash; https://www.sec.gov/Archives/edgar/data/1767582/000110465926035712/lk-20251231x20f.htm; source_id=hist_beginning_cash_2024A. Official consolidated cash-flow value; RMB thousands normalized to RMB mm.</t>
        </r>
      </text>
    </comment>
    <comment ref="E22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347, row beginning cash; https://www.sec.gov/Archives/edgar/data/1767582/000110465926035712/lk-20251231x20f.htm; source_id=hist_beginning_cash_2025A. Official consolidated cash-flow value; RMB thousands normalized to RMB mm.</t>
        </r>
      </text>
    </comment>
    <comment ref="B23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Source: Luckin Coffee FY2023 Form 20-F, 2022A, table 359, row ending cash; https://www.sec.gov/Archives/edgar/data/1767582/000110465924044514/lk-20231231x20f.htm; source_id=hist_ending_cash_2022A. Official consolidated cash-flow value; RMB thousands normalized to RMB mm.</t>
        </r>
      </text>
    </comment>
    <comment ref="C23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2023A, table 347, row ending cash; https://www.sec.gov/Archives/edgar/data/1767582/000110465926035712/lk-20251231x20f.htm; source_id=hist_ending_cash_2023A. Official consolidated cash-flow value; RMB thousands normalized to RMB mm.</t>
        </r>
      </text>
    </comment>
    <comment ref="D23" authorId="0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2024A, table 347, row ending cash; https://www.sec.gov/Archives/edgar/data/1767582/000110465926035712/lk-20251231x20f.htm; source_id=hist_ending_cash_2024A. Official consolidated cash-flow value; RMB thousands normalized to RMB mm.</t>
        </r>
      </text>
    </comment>
    <comment ref="E23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Source: Luckin Coffee FY2025 Form 20-F, 2025A, table 347, row ending cash; https://www.sec.gov/Archives/edgar/data/1767582/000110465926035712/lk-20251231x20f.htm; source_id=hist_ending_cash_2025A. Official consolidated cash-flow value; RMB thousands normalized to RMB mm.</t>
        </r>
      </text>
    </comment>
  </commentList>
</comments>
</file>

<file path=xl/sharedStrings.xml><?xml version="1.0" encoding="utf-8"?>
<sst xmlns="http://schemas.openxmlformats.org/spreadsheetml/2006/main" count="1224" uniqueCount="289">
  <si>
    <t>Luckin Coffee Inc. (LKNCY) - IBD Operating Model &amp; DCF</t>
  </si>
  <si>
    <t>Company</t>
  </si>
  <si>
    <t>Luckin Coffee Inc. / 瑞幸咖啡</t>
  </si>
  <si>
    <t>Ticker / exchange</t>
  </si>
  <si>
    <t>LKNCY / OTC Markets | Wind: LKNCY.OO</t>
  </si>
  <si>
    <t>Model status</t>
  </si>
  <si>
    <t>REAL HISTORICAL DATA | PROVISIONAL FORECAST | NOT INVESTMENT ADVICE</t>
  </si>
  <si>
    <t>As of</t>
  </si>
  <si>
    <t>2026-09-06</t>
  </si>
  <si>
    <t>Currency / units</t>
  </si>
  <si>
    <t>CNY / RMB mm; valuation output in USD per ADS</t>
  </si>
  <si>
    <t>Primary source</t>
  </si>
  <si>
    <t>https://www.sec.gov/Archives/edgar/data/1767582/000110465926035712/lk-20251231x20f.htm</t>
  </si>
  <si>
    <t>Earlier source</t>
  </si>
  <si>
    <t>https://www.sec.gov/Archives/edgar/data/1767582/000110465924044514/lk-20231231x20f.htm</t>
  </si>
  <si>
    <t>SEC company facts</t>
  </si>
  <si>
    <t>https://data.sec.gov/api/xbrl/companyfacts/CIK0001767582.json</t>
  </si>
  <si>
    <t>Source ledger</t>
  </si>
  <si>
    <t>source_ledger.json</t>
  </si>
  <si>
    <t>Color legend</t>
  </si>
  <si>
    <t>Blue = hardcode | Black = same-sheet formula | Green = cross-tab formula</t>
  </si>
  <si>
    <t>Tab directory</t>
  </si>
  <si>
    <t>Cover | Assumptions | IS | BS | CF | DCF | Sensitivity</t>
  </si>
  <si>
    <t>Scenario selector</t>
  </si>
  <si>
    <t>Assumptions!B4 (1=Bear, 2=Base, 3=Bull)</t>
  </si>
  <si>
    <t>Key outputs</t>
  </si>
  <si>
    <t>2025A revenue</t>
  </si>
  <si>
    <t>2025A EBIT margin</t>
  </si>
  <si>
    <t>2030E Base revenue</t>
  </si>
  <si>
    <t>Implied value / ADS</t>
  </si>
  <si>
    <t>Upside / (downside)</t>
  </si>
  <si>
    <t>Forecast caveat</t>
  </si>
  <si>
    <t>2026E-2030E are editable skill-default scenarios, not management guidance or licensed consensus.</t>
  </si>
  <si>
    <t>Luckin Coffee Inc. - Assumptions (RMB mm)</t>
  </si>
  <si>
    <t>All forecast inputs live here. Selected is formula-driven; statements contain no forecast hardcodes.</t>
  </si>
  <si>
    <t>Case selector (1=Bear, 2=Base, 3=Bull)</t>
  </si>
  <si>
    <t>Selected case</t>
  </si>
  <si>
    <t>Historical context</t>
  </si>
  <si>
    <t>Metric</t>
  </si>
  <si>
    <t>Unit</t>
  </si>
  <si>
    <t>2022A</t>
  </si>
  <si>
    <t>2023A</t>
  </si>
  <si>
    <t>2024A</t>
  </si>
  <si>
    <t>2025A</t>
  </si>
  <si>
    <t>Source / note</t>
  </si>
  <si>
    <t>Revenue</t>
  </si>
  <si>
    <t>RMB mm</t>
  </si>
  <si>
    <t>Official 20-F</t>
  </si>
  <si>
    <t>EBIT margin</t>
  </si>
  <si>
    <t>%</t>
  </si>
  <si>
    <t>Derived from 20-F rows</t>
  </si>
  <si>
    <t>Ending stores</t>
  </si>
  <si>
    <t>count</t>
  </si>
  <si>
    <t>Official 20-F KPI table</t>
  </si>
  <si>
    <t>Product revenue / avg self store</t>
  </si>
  <si>
    <t>Model-derived</t>
  </si>
  <si>
    <t>Partnership revenue / avg partner store</t>
  </si>
  <si>
    <t>CFO margin</t>
  </si>
  <si>
    <t>2021A ending self stores</t>
  </si>
  <si>
    <t>Input used only for 2022 average-store calculation</t>
  </si>
  <si>
    <t>2021A ending partnership stores</t>
  </si>
  <si>
    <t>Scenario forecast drivers</t>
  </si>
  <si>
    <t>Assumption key</t>
  </si>
  <si>
    <t>Forecast period</t>
  </si>
  <si>
    <t>Bear</t>
  </si>
  <si>
    <t>Base</t>
  </si>
  <si>
    <t>Bull</t>
  </si>
  <si>
    <t>Selected</t>
  </si>
  <si>
    <t>Status</t>
  </si>
  <si>
    <t>Provenance</t>
  </si>
  <si>
    <t>Rationale / source</t>
  </si>
  <si>
    <t>Self-operated store growth</t>
  </si>
  <si>
    <t>2026E</t>
  </si>
  <si>
    <t>provisional</t>
  </si>
  <si>
    <t>skill_default</t>
  </si>
  <si>
    <t>Historical store/revenue productivity trend with explicit downside/upside; provisional, not consensus.</t>
  </si>
  <si>
    <t>2027E</t>
  </si>
  <si>
    <t>2028E</t>
  </si>
  <si>
    <t>2029E</t>
  </si>
  <si>
    <t>2030E</t>
  </si>
  <si>
    <t>Partnership store growth</t>
  </si>
  <si>
    <t>Product revenue / store growth</t>
  </si>
  <si>
    <t>Partnership revenue / store growth</t>
  </si>
  <si>
    <t>Materials % of revenue</t>
  </si>
  <si>
    <t>Historical ratio path with gradual normalization; provisional, not management guidance or consensus.</t>
  </si>
  <si>
    <t>Store rent &amp; operations % of revenue</t>
  </si>
  <si>
    <t>D&amp;A % of revenue</t>
  </si>
  <si>
    <t>Delivery % of revenue</t>
  </si>
  <si>
    <t>Sales &amp; marketing % of revenue</t>
  </si>
  <si>
    <t>G&amp;A % of revenue</t>
  </si>
  <si>
    <t>Other operating cost % of revenue</t>
  </si>
  <si>
    <t>Net non-operating income % of revenue</t>
  </si>
  <si>
    <t>Effective tax rate</t>
  </si>
  <si>
    <t>Liquid investments % of revenue</t>
  </si>
  <si>
    <t>Operating current assets % of revenue</t>
  </si>
  <si>
    <t>ROU assets % of revenue</t>
  </si>
  <si>
    <t>Other non-current assets % of revenue</t>
  </si>
  <si>
    <t>Operating current liabilities % of revenue</t>
  </si>
  <si>
    <t>Lease liabilities % of revenue</t>
  </si>
  <si>
    <t>Other non-current liabilities % of revenue</t>
  </si>
  <si>
    <t>CapEx % of revenue</t>
  </si>
  <si>
    <t>FX effect % of beginning cash</t>
  </si>
  <si>
    <t>Forecast FX cash effect held at zero; explicit simplification.</t>
  </si>
  <si>
    <t>Mid-year discount period</t>
  </si>
  <si>
    <t>years</t>
  </si>
  <si>
    <t>Standard five-year mid-year DCF convention.</t>
  </si>
  <si>
    <t>Terminal growth</t>
  </si>
  <si>
    <t>All forecast</t>
  </si>
  <si>
    <t>Long-run nominal growth range; provisional valuation input.</t>
  </si>
  <si>
    <t>Risk-free rate</t>
  </si>
  <si>
    <t>Rounded market-level placeholder; refresh before investment use.</t>
  </si>
  <si>
    <t>Beta</t>
  </si>
  <si>
    <t>x</t>
  </si>
  <si>
    <t>Wind beta was unavailable; visible skill-default range.</t>
  </si>
  <si>
    <t>Equity risk premium</t>
  </si>
  <si>
    <t>Standard equity-risk-premium range held constant across cases.</t>
  </si>
  <si>
    <t>Country / listing risk premium</t>
  </si>
  <si>
    <t>Explicit China/OTC risk overlay; provisional skill default.</t>
  </si>
  <si>
    <t>Pre-tax cost of debt</t>
  </si>
  <si>
    <t>Reference rate only; capital structure has zero debt at 2025 year-end.</t>
  </si>
  <si>
    <t>Current share price</t>
  </si>
  <si>
    <t>USD / ADS</t>
  </si>
  <si>
    <t>committed</t>
  </si>
  <si>
    <t>source_lookup</t>
  </si>
  <si>
    <t>Wind latest transaction price as of the stated market date.</t>
  </si>
  <si>
    <t>CNY per USD</t>
  </si>
  <si>
    <t>CNY / USD</t>
  </si>
  <si>
    <t>7.0063 CNY/USD, derived from 2025 20-F presentation translation.</t>
  </si>
  <si>
    <t>Basic ADS equivalent shares</t>
  </si>
  <si>
    <t>mm ADS</t>
  </si>
  <si>
    <t>2025 year-end ordinary shares converted to ADS equivalents.</t>
  </si>
  <si>
    <t>Diluted ADS equivalent shares</t>
  </si>
  <si>
    <t>Diluted ordinary shares converted to ADS equivalents.</t>
  </si>
  <si>
    <t>Total debt</t>
  </si>
  <si>
    <t>Both borrowing lines were nil at December 31, 2025.</t>
  </si>
  <si>
    <t>Cash &amp; liquid investments</t>
  </si>
  <si>
    <t>Excludes restricted cash; used as the DCF equity-bridge liquidity adjustment.</t>
  </si>
  <si>
    <t>Mezzanine equity</t>
  </si>
  <si>
    <t>Deducted after enterprise value to reach common equity value.</t>
  </si>
  <si>
    <t>Sensitivity axes</t>
  </si>
  <si>
    <t>Axis key</t>
  </si>
  <si>
    <t>Position</t>
  </si>
  <si>
    <t>Value</t>
  </si>
  <si>
    <t>Rationale</t>
  </si>
  <si>
    <t>wacc_axis</t>
  </si>
  <si>
    <t>Center equals Base; outer cells are symmetric stress cases.</t>
  </si>
  <si>
    <t>terminal_growth_axis</t>
  </si>
  <si>
    <t>revenue_growth_delta_axis</t>
  </si>
  <si>
    <t>ebit_margin_delta_axis</t>
  </si>
  <si>
    <t>beta_axis</t>
  </si>
  <si>
    <t>risk_free_axis</t>
  </si>
  <si>
    <t>Income Statement &amp; Operating KPIs (RMB mm, except per-store and store data)</t>
  </si>
  <si>
    <t>Income Statement / KPI</t>
  </si>
  <si>
    <t>Ending direct stores</t>
  </si>
  <si>
    <t>Direct-store YoY</t>
  </si>
  <si>
    <t>unavailable</t>
  </si>
  <si>
    <t>Average direct stores</t>
  </si>
  <si>
    <t>Product revenue / average self store</t>
  </si>
  <si>
    <t>Product revenue / store YoY</t>
  </si>
  <si>
    <t>Product sales revenue</t>
  </si>
  <si>
    <t>Product sales revenue YoY</t>
  </si>
  <si>
    <t>Ending partnership stores</t>
  </si>
  <si>
    <t>Partnership store YoY</t>
  </si>
  <si>
    <t>Average partnership stores</t>
  </si>
  <si>
    <t>Partnership revenue / average partner store</t>
  </si>
  <si>
    <t>Partnership revenue / store YoY</t>
  </si>
  <si>
    <t>Partnership revenue</t>
  </si>
  <si>
    <t>Partnership revenue YoY</t>
  </si>
  <si>
    <t>Total net revenue</t>
  </si>
  <si>
    <t>Revenue YoY</t>
  </si>
  <si>
    <t>Q4 avg monthly transacting customers (000)</t>
  </si>
  <si>
    <t>not modeled</t>
  </si>
  <si>
    <t>Operating expense build</t>
  </si>
  <si>
    <t>Cost of materials</t>
  </si>
  <si>
    <t>Store rent &amp; other operating costs</t>
  </si>
  <si>
    <t>Depreciation &amp; amortization</t>
  </si>
  <si>
    <t>Delivery expenses</t>
  </si>
  <si>
    <t>Sales &amp; marketing</t>
  </si>
  <si>
    <t>General &amp; administrative</t>
  </si>
  <si>
    <t>Preopening / impairment / other operating</t>
  </si>
  <si>
    <t>Other operating % of revenue</t>
  </si>
  <si>
    <t>Total operating expenses</t>
  </si>
  <si>
    <t>Operating expenses % of revenue</t>
  </si>
  <si>
    <t>Operating income (EBIT)</t>
  </si>
  <si>
    <t>Net interest / investment &amp; other income</t>
  </si>
  <si>
    <t>Income before tax</t>
  </si>
  <si>
    <t>Income tax expense</t>
  </si>
  <si>
    <t>Net income</t>
  </si>
  <si>
    <t>Net margin</t>
  </si>
  <si>
    <t>Net income YoY</t>
  </si>
  <si>
    <t>Checks</t>
  </si>
  <si>
    <t>Revenue bridge check</t>
  </si>
  <si>
    <t>EBIT reconciliation check</t>
  </si>
  <si>
    <t>Balance Sheet (RMB mm)</t>
  </si>
  <si>
    <t>Balance Sheet</t>
  </si>
  <si>
    <t>Cash &amp; restricted cash</t>
  </si>
  <si>
    <t>Cash YoY</t>
  </si>
  <si>
    <t>Short-term investments &amp; term deposits</t>
  </si>
  <si>
    <t>Operating current assets</t>
  </si>
  <si>
    <t>Property &amp; equipment, net</t>
  </si>
  <si>
    <t>PP&amp;E % of revenue</t>
  </si>
  <si>
    <t>Operating lease ROU assets</t>
  </si>
  <si>
    <t>Other non-current assets</t>
  </si>
  <si>
    <t>Total assets</t>
  </si>
  <si>
    <t>Total assets YoY</t>
  </si>
  <si>
    <t>Liabilities</t>
  </si>
  <si>
    <t>Operating current liabilities</t>
  </si>
  <si>
    <t>Operating lease liabilities</t>
  </si>
  <si>
    <t>Bank debt</t>
  </si>
  <si>
    <t>Other non-current liabilities</t>
  </si>
  <si>
    <t>Total liabilities</t>
  </si>
  <si>
    <t>Total liabilities YoY</t>
  </si>
  <si>
    <t>Equity &amp; checks</t>
  </si>
  <si>
    <t>Common shareholders' equity</t>
  </si>
  <si>
    <t>Common equity YoY</t>
  </si>
  <si>
    <t>Total liabilities, mezzanine &amp; common equity</t>
  </si>
  <si>
    <t>Balance check</t>
  </si>
  <si>
    <t>Net debt / (net cash &amp; liquid investments)</t>
  </si>
  <si>
    <t>Cash Flow Statement (RMB mm)</t>
  </si>
  <si>
    <t>Cash Flow</t>
  </si>
  <si>
    <t>D&amp;A</t>
  </si>
  <si>
    <t>Working capital &amp; other operating adjustments</t>
  </si>
  <si>
    <t>Net cash from operating activities (CFO)</t>
  </si>
  <si>
    <t>Investing activities</t>
  </si>
  <si>
    <t>Purchases of property &amp; equipment (CapEx)</t>
  </si>
  <si>
    <t>Other investing activities</t>
  </si>
  <si>
    <t>Net cash from investing activities (CFI)</t>
  </si>
  <si>
    <t>Financing activities</t>
  </si>
  <si>
    <t>Debt / equity / other financing</t>
  </si>
  <si>
    <t>Net cash from financing activities (CFF)</t>
  </si>
  <si>
    <t>FX effect on cash</t>
  </si>
  <si>
    <t>Net change in cash &amp; restricted cash</t>
  </si>
  <si>
    <t>Beginning cash &amp; restricted cash</t>
  </si>
  <si>
    <t>Ending cash &amp; restricted cash</t>
  </si>
  <si>
    <t>Cash roll-forward check</t>
  </si>
  <si>
    <t>Ending cash vs BS check</t>
  </si>
  <si>
    <t>Luckin Coffee Inc. - DCF (RMB mm, except per ADS)</t>
  </si>
  <si>
    <t>As of 2026-09-06 | Forecast assumptions are provisional</t>
  </si>
  <si>
    <t>Case selector</t>
  </si>
  <si>
    <t>Case name</t>
  </si>
  <si>
    <t>Market data &amp; equity bridge inputs</t>
  </si>
  <si>
    <t>Current price (USD / ADS)</t>
  </si>
  <si>
    <t>Basic ADS equivalent shares (mm)</t>
  </si>
  <si>
    <t>Market capitalization (USD mm)</t>
  </si>
  <si>
    <t>Market capitalization (RMB mm)</t>
  </si>
  <si>
    <t>Diluted ADS equivalent shares (mm)</t>
  </si>
  <si>
    <t>Net debt + mezzanine adjustment</t>
  </si>
  <si>
    <t>Current enterprise value</t>
  </si>
  <si>
    <t>WACC support (inside DCF)</t>
  </si>
  <si>
    <t>Cost of equity</t>
  </si>
  <si>
    <t>Terminal tax rate</t>
  </si>
  <si>
    <t>After-tax cost of debt</t>
  </si>
  <si>
    <t>Capital base</t>
  </si>
  <si>
    <t>Equity weight</t>
  </si>
  <si>
    <t>Debt weight</t>
  </si>
  <si>
    <t>WACC</t>
  </si>
  <si>
    <t>Unlevered FCF build</t>
  </si>
  <si>
    <t>DCF valuation</t>
  </si>
  <si>
    <t>EBIT</t>
  </si>
  <si>
    <t>Cash taxes on EBIT</t>
  </si>
  <si>
    <t>NOPAT</t>
  </si>
  <si>
    <t>CapEx</t>
  </si>
  <si>
    <t>Change in operating NWC</t>
  </si>
  <si>
    <t>Unlevered FCF</t>
  </si>
  <si>
    <t>Discount factor</t>
  </si>
  <si>
    <t>PV of FCF</t>
  </si>
  <si>
    <t>Terminal FCF</t>
  </si>
  <si>
    <t>Terminal value</t>
  </si>
  <si>
    <t>PV terminal value</t>
  </si>
  <si>
    <t>Valuation summary</t>
  </si>
  <si>
    <t>Sum of PV of forecast FCF</t>
  </si>
  <si>
    <t>PV of terminal value</t>
  </si>
  <si>
    <t>Enterprise value</t>
  </si>
  <si>
    <t>(-) Total debt</t>
  </si>
  <si>
    <t>(+) Cash &amp; liquid investments</t>
  </si>
  <si>
    <t>(-) Mezzanine equity</t>
  </si>
  <si>
    <t>Common equity value (RMB mm)</t>
  </si>
  <si>
    <t>Common equity value (USD mm)</t>
  </si>
  <si>
    <t>Current price / ADS</t>
  </si>
  <si>
    <t>Implied upside / (downside)</t>
  </si>
  <si>
    <t>Terminal value / enterprise value</t>
  </si>
  <si>
    <t>Luckin Coffee Inc. - DCF Sensitivity (USD / ADS)</t>
  </si>
  <si>
    <t>All 75 output cells contain full DCF formulas; each center cell equals DCF Base case.</t>
  </si>
  <si>
    <t>WACC vs terminal growth</t>
  </si>
  <si>
    <t>wacc_axis / terminal_growth_axis</t>
  </si>
  <si>
    <t>Revenue growth delta vs EBIT margin delta</t>
  </si>
  <si>
    <t>revenue_growth_delta_axis / ebit_margin_delta_axis</t>
  </si>
  <si>
    <t>Beta vs risk-free rate</t>
  </si>
  <si>
    <t>beta_axis / risk_free_axis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</si>
</sst>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;\(#,##0.0\);\-"/>
    <numFmt numFmtId="165" formatCode="0.0%;\(0.0%\);\-"/>
    <numFmt numFmtId="166" formatCode="\$0.00;\(\$0.00\);\-"/>
    <numFmt numFmtId="167" formatCode="#,##0;\(#,##0\);\-"/>
    <numFmt numFmtId="168" formatCode="0.00\x"/>
    <numFmt numFmtId="169" formatCode="0.0000"/>
  </numFmts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2"/>
      <color theme="10"/>
      <name val="Calibri"/>
      <family val="2"/>
      <scheme val="minor"/>
    </font>
    <font>
      <b/>
      <sz val="10"/>
      <color rgb="FFFFFFFF"/>
      <name val="Arial"/>
    </font>
    <font>
      <sz val="10"/>
      <color rgb="FF00FF00"/>
      <name val="Arial"/>
    </font>
    <font>
      <b/>
      <sz val="10"/>
      <color rgb="FF00FF00"/>
      <name val="Arial"/>
    </font>
    <font>
      <b/>
      <sz val="14"/>
      <color rgb="FFFFFFFF"/>
      <name val="Arial"/>
    </font>
    <font>
      <sz val="10"/>
      <color rgb="FF0000FF"/>
      <name val="Arial"/>
    </font>
    <font>
      <i/>
      <sz val="10"/>
      <color rgb="FF00FF00"/>
      <name val="Arial"/>
    </font>
    <font>
      <i/>
      <sz val="10"/>
      <color rgb="FF0000FF"/>
      <name val="Arial"/>
    </font>
    <font>
      <i/>
      <sz val="10"/>
      <color rgb="FF000000"/>
      <name val="Arial"/>
    </font>
    <font>
      <b/>
      <sz val="10"/>
      <color rgb="FF0000FF"/>
      <name val="Arial"/>
    </font>
    <font>
      <b/>
      <i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BDD7EE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/>
      <top/>
      <bottom style="thin">
        <color rgb="FFB7C9D6"/>
      </bottom>
      <diagonal/>
    </border>
  </borders>
  <cellStyleXfs count="2">
    <xf numFmtId="0" fontId="0" fillId="0" borderId="0"/>
    <xf numFmtId="0" fontId="4" fillId="0" borderId="0"/>
  </cellStyleXfs>
  <cellXfs count="51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1"/>
    <xf numFmtId="164" fontId="6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166" fontId="7" fillId="3" borderId="0" xfId="0" applyNumberFormat="1" applyFont="1" applyFill="1" applyAlignment="1">
      <alignment vertical="center" wrapText="1"/>
    </xf>
    <xf numFmtId="165" fontId="7" fillId="3" borderId="0" xfId="0" applyNumberFormat="1" applyFont="1" applyFill="1" applyAlignment="1">
      <alignment vertical="center" wrapText="1"/>
    </xf>
    <xf numFmtId="1" fontId="9" fillId="3" borderId="0" xfId="0" applyNumberFormat="1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165" fontId="10" fillId="0" borderId="0" xfId="0" applyNumberFormat="1" applyFont="1" applyAlignment="1">
      <alignment vertical="center" wrapText="1"/>
    </xf>
    <xf numFmtId="167" fontId="6" fillId="0" borderId="0" xfId="0" applyNumberFormat="1" applyFont="1" applyAlignment="1">
      <alignment vertical="center" wrapText="1"/>
    </xf>
    <xf numFmtId="167" fontId="9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 wrapText="1"/>
    </xf>
    <xf numFmtId="164" fontId="9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168" fontId="9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 wrapText="1"/>
    </xf>
    <xf numFmtId="166" fontId="9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 wrapText="1"/>
    </xf>
    <xf numFmtId="169" fontId="9" fillId="0" borderId="0" xfId="0" applyNumberFormat="1" applyFont="1" applyAlignment="1">
      <alignment vertical="center"/>
    </xf>
    <xf numFmtId="169" fontId="3" fillId="0" borderId="0" xfId="0" applyNumberFormat="1" applyFont="1" applyAlignment="1">
      <alignment vertical="center" wrapText="1"/>
    </xf>
    <xf numFmtId="1" fontId="9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0" fontId="12" fillId="0" borderId="0" xfId="0" applyFont="1" applyAlignment="1">
      <alignment vertical="center" wrapText="1" indent="1"/>
    </xf>
    <xf numFmtId="0" fontId="12" fillId="0" borderId="0" xfId="0" applyFont="1" applyAlignment="1">
      <alignment vertical="center" wrapText="1"/>
    </xf>
    <xf numFmtId="167" fontId="3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12" fillId="0" borderId="0" xfId="0" applyNumberFormat="1" applyFont="1" applyAlignment="1">
      <alignment vertical="center" wrapText="1"/>
    </xf>
    <xf numFmtId="164" fontId="7" fillId="0" borderId="0" xfId="0" applyNumberFormat="1" applyFont="1" applyAlignment="1">
      <alignment vertical="center" wrapText="1"/>
    </xf>
    <xf numFmtId="164" fontId="13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vertical="center" wrapText="1"/>
    </xf>
    <xf numFmtId="169" fontId="6" fillId="0" borderId="0" xfId="0" applyNumberFormat="1" applyFont="1" applyAlignment="1">
      <alignment vertical="center" wrapText="1"/>
    </xf>
    <xf numFmtId="168" fontId="6" fillId="0" borderId="0" xfId="0" applyNumberFormat="1" applyFont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165" fontId="14" fillId="3" borderId="0" xfId="0" applyNumberFormat="1" applyFont="1" applyFill="1" applyAlignment="1">
      <alignment vertical="center" wrapText="1"/>
    </xf>
    <xf numFmtId="164" fontId="10" fillId="0" borderId="0" xfId="0" applyNumberFormat="1" applyFont="1" applyAlignment="1">
      <alignment vertical="center" wrapText="1"/>
    </xf>
    <xf numFmtId="164" fontId="2" fillId="3" borderId="0" xfId="0" applyNumberFormat="1" applyFont="1" applyFill="1" applyAlignment="1">
      <alignment vertical="center" wrapText="1"/>
    </xf>
    <xf numFmtId="166" fontId="2" fillId="3" borderId="0" xfId="0" applyNumberFormat="1" applyFont="1" applyFill="1" applyAlignment="1">
      <alignment vertical="center" wrapText="1"/>
    </xf>
    <xf numFmtId="166" fontId="6" fillId="0" borderId="0" xfId="0" applyNumberFormat="1" applyFont="1" applyAlignment="1">
      <alignment horizontal="center" vertical="center"/>
    </xf>
    <xf numFmtId="166" fontId="7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0" xfId="0"/>
    <xf numFmtId="0" fontId="5" fillId="2" borderId="1" xfId="0" applyFont="1" applyFill="1" applyBorder="1" applyAlignment="1">
      <alignment vertical="center"/>
    </xf>
    <xf numFmtId="0" fontId="0" fillId="0" borderId="1" xfId="0" applyBorder="1"/>
    <xf numFmtId="0" fontId="8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HK"/>
              <a:t>Revenue: actual and forecast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IS!$B$4:$J$4</c:f>
              <c:strCache>
                <c:ptCount val="9"/>
                <c:pt idx="0">
                  <c:v>2022A</c:v>
                </c:pt>
                <c:pt idx="1">
                  <c:v>2023A</c:v>
                </c:pt>
                <c:pt idx="2">
                  <c:v>2024A</c:v>
                </c:pt>
                <c:pt idx="3">
                  <c:v>2025A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</c:strCache>
            </c:strRef>
          </c:cat>
          <c:val>
            <c:numRef>
              <c:f>IS!$B$21:$J$21</c:f>
              <c:numCache>
                <c:formatCode>#,##0.0;\(#,##0.0\);\-</c:formatCode>
                <c:ptCount val="9"/>
                <c:pt idx="0">
                  <c:v>13292.982</c:v>
                </c:pt>
                <c:pt idx="1">
                  <c:v>24903.165999999997</c:v>
                </c:pt>
                <c:pt idx="2">
                  <c:v>34474.813999999998</c:v>
                </c:pt>
                <c:pt idx="3">
                  <c:v>49288.095000000001</c:v>
                </c:pt>
                <c:pt idx="4">
                  <c:v>63488.560717341272</c:v>
                </c:pt>
                <c:pt idx="5">
                  <c:v>79321.298896174354</c:v>
                </c:pt>
                <c:pt idx="6">
                  <c:v>96649.147380802431</c:v>
                </c:pt>
                <c:pt idx="7">
                  <c:v>113951.28892074668</c:v>
                </c:pt>
                <c:pt idx="8">
                  <c:v>130928.19766817242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4-4A78-9C33-C9E47D69A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HK"/>
                  <a:t>RMB mm</a:t>
                </a:r>
              </a:p>
            </c:rich>
          </c:tx>
          <c:overlay val="1"/>
        </c:title>
        <c:numFmt formatCode="#,##0.0;\(#,##0.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HK"/>
              <a:t>EBIT margin progression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IS!$B$4:$J$4</c:f>
              <c:strCache>
                <c:ptCount val="9"/>
                <c:pt idx="0">
                  <c:v>2022A</c:v>
                </c:pt>
                <c:pt idx="1">
                  <c:v>2023A</c:v>
                </c:pt>
                <c:pt idx="2">
                  <c:v>2024A</c:v>
                </c:pt>
                <c:pt idx="3">
                  <c:v>2025A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</c:strCache>
            </c:strRef>
          </c:cat>
          <c:val>
            <c:numRef>
              <c:f>IS!$B$46:$J$46</c:f>
              <c:numCache>
                <c:formatCode>0.0%;\(0.0%\);\-</c:formatCode>
                <c:ptCount val="9"/>
                <c:pt idx="0">
                  <c:v>8.6976646774967567E-2</c:v>
                </c:pt>
                <c:pt idx="1">
                  <c:v>0.12128670707973403</c:v>
                </c:pt>
                <c:pt idx="2">
                  <c:v>0.10355585964872779</c:v>
                </c:pt>
                <c:pt idx="3">
                  <c:v>0.10292414425836513</c:v>
                </c:pt>
                <c:pt idx="4">
                  <c:v>9.999999999999995E-2</c:v>
                </c:pt>
                <c:pt idx="5">
                  <c:v>0.10999999999999997</c:v>
                </c:pt>
                <c:pt idx="6">
                  <c:v>0.12000000000000022</c:v>
                </c:pt>
                <c:pt idx="7">
                  <c:v>0.12699999999999997</c:v>
                </c:pt>
                <c:pt idx="8">
                  <c:v>0.13500000000000001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4D-409B-9D61-783DA2720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HK"/>
                  <a:t>%</a:t>
                </a:r>
              </a:p>
            </c:rich>
          </c:tx>
          <c:overlay val="1"/>
        </c:title>
        <c:numFmt formatCode="0.0%;\(0.0%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16</xdr:row>
      <xdr:rowOff>0</xdr:rowOff>
    </xdr:from>
    <xdr:ext cx="54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sec.gov/api/xbrl/companyfacts/CIK0001767582.json" TargetMode="External"/><Relationship Id="rId2" Type="http://schemas.openxmlformats.org/officeDocument/2006/relationships/hyperlink" Target="https://www.sec.gov/Archives/edgar/data/1767582/000110465924044514/lk-20231231x20f.htm" TargetMode="External"/><Relationship Id="rId1" Type="http://schemas.openxmlformats.org/officeDocument/2006/relationships/hyperlink" Target="https://www.sec.gov/Archives/edgar/data/1767582/000110465926035712/lk-20251231x20f.htm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../../../../Documents/Lance/AI/Model%20Training/Lance-Private/AI/Project%20FreeRide/skills/ibd-equity-model/examples/luckin_real_case/source_ledger.jso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5"/>
  <sheetViews>
    <sheetView showGridLines="0" tabSelected="1" zoomScale="90" workbookViewId="0">
      <selection sqref="A1:J1"/>
    </sheetView>
  </sheetViews>
  <sheetFormatPr defaultRowHeight="15" x14ac:dyDescent="0.25"/>
  <cols>
    <col min="1" max="1" width="24" customWidth="1"/>
    <col min="2" max="2" width="92" customWidth="1"/>
    <col min="3" max="3" width="3" customWidth="1"/>
    <col min="4" max="10" width="14" customWidth="1"/>
  </cols>
  <sheetData>
    <row r="1" spans="1:10" ht="30" customHeight="1" x14ac:dyDescent="0.2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</row>
    <row r="3" spans="1:10" x14ac:dyDescent="0.25">
      <c r="A3" s="1" t="s">
        <v>1</v>
      </c>
      <c r="B3" s="2" t="s">
        <v>2</v>
      </c>
    </row>
    <row r="4" spans="1:10" x14ac:dyDescent="0.25">
      <c r="A4" s="1" t="s">
        <v>3</v>
      </c>
      <c r="B4" s="2" t="s">
        <v>4</v>
      </c>
    </row>
    <row r="5" spans="1:10" x14ac:dyDescent="0.25">
      <c r="A5" s="1" t="s">
        <v>5</v>
      </c>
      <c r="B5" s="2" t="s">
        <v>6</v>
      </c>
    </row>
    <row r="6" spans="1:10" x14ac:dyDescent="0.25">
      <c r="A6" s="1" t="s">
        <v>7</v>
      </c>
      <c r="B6" s="2" t="s">
        <v>8</v>
      </c>
    </row>
    <row r="7" spans="1:10" x14ac:dyDescent="0.25">
      <c r="A7" s="1" t="s">
        <v>9</v>
      </c>
      <c r="B7" s="2" t="s">
        <v>10</v>
      </c>
    </row>
    <row r="9" spans="1:10" ht="15.75" x14ac:dyDescent="0.25">
      <c r="A9" s="1" t="s">
        <v>11</v>
      </c>
      <c r="B9" s="3" t="s">
        <v>12</v>
      </c>
    </row>
    <row r="10" spans="1:10" ht="15.75" x14ac:dyDescent="0.25">
      <c r="A10" s="1" t="s">
        <v>13</v>
      </c>
      <c r="B10" s="3" t="s">
        <v>14</v>
      </c>
    </row>
    <row r="11" spans="1:10" ht="15.75" x14ac:dyDescent="0.25">
      <c r="A11" s="1" t="s">
        <v>15</v>
      </c>
      <c r="B11" s="3" t="s">
        <v>16</v>
      </c>
    </row>
    <row r="12" spans="1:10" ht="15.75" x14ac:dyDescent="0.25">
      <c r="A12" s="1" t="s">
        <v>17</v>
      </c>
      <c r="B12" s="3" t="s">
        <v>18</v>
      </c>
    </row>
    <row r="14" spans="1:10" x14ac:dyDescent="0.25">
      <c r="A14" s="1" t="s">
        <v>19</v>
      </c>
      <c r="B14" s="2" t="s">
        <v>20</v>
      </c>
    </row>
    <row r="15" spans="1:10" x14ac:dyDescent="0.25">
      <c r="A15" s="1" t="s">
        <v>21</v>
      </c>
      <c r="B15" s="2" t="s">
        <v>22</v>
      </c>
    </row>
    <row r="16" spans="1:10" x14ac:dyDescent="0.25">
      <c r="A16" s="1" t="s">
        <v>23</v>
      </c>
      <c r="B16" s="2" t="s">
        <v>24</v>
      </c>
    </row>
    <row r="18" spans="1:10" ht="18.95" customHeight="1" x14ac:dyDescent="0.25">
      <c r="A18" s="48" t="s">
        <v>25</v>
      </c>
      <c r="B18" s="49"/>
      <c r="C18" s="49"/>
      <c r="D18" s="49"/>
      <c r="E18" s="49"/>
      <c r="F18" s="49"/>
      <c r="G18" s="49"/>
      <c r="H18" s="49"/>
      <c r="I18" s="49"/>
      <c r="J18" s="49"/>
    </row>
    <row r="19" spans="1:10" x14ac:dyDescent="0.25">
      <c r="A19" s="1" t="s">
        <v>26</v>
      </c>
      <c r="B19" s="4">
        <f>IS!E21</f>
        <v>49288.095000000001</v>
      </c>
    </row>
    <row r="20" spans="1:10" x14ac:dyDescent="0.25">
      <c r="A20" s="1" t="s">
        <v>27</v>
      </c>
      <c r="B20" s="5">
        <f>IS!E46</f>
        <v>0.10292414425836513</v>
      </c>
    </row>
    <row r="21" spans="1:10" x14ac:dyDescent="0.25">
      <c r="A21" s="1" t="s">
        <v>28</v>
      </c>
      <c r="B21" s="4">
        <f>IS!J21</f>
        <v>130928.19766817242</v>
      </c>
    </row>
    <row r="22" spans="1:10" x14ac:dyDescent="0.25">
      <c r="A22" s="1" t="s">
        <v>29</v>
      </c>
      <c r="B22" s="6">
        <f>DCF!B69</f>
        <v>46.697080940877271</v>
      </c>
    </row>
    <row r="23" spans="1:10" x14ac:dyDescent="0.25">
      <c r="A23" s="1" t="s">
        <v>30</v>
      </c>
      <c r="B23" s="7">
        <f>DCF!B71</f>
        <v>0.34148465788213933</v>
      </c>
    </row>
    <row r="25" spans="1:10" x14ac:dyDescent="0.25">
      <c r="A25" s="1" t="s">
        <v>31</v>
      </c>
      <c r="B25" s="2" t="s">
        <v>32</v>
      </c>
    </row>
  </sheetData>
  <mergeCells count="2">
    <mergeCell ref="A1:J1"/>
    <mergeCell ref="A18:J18"/>
  </mergeCells>
  <hyperlinks>
    <hyperlink ref="B9" r:id="rId1" xr:uid="{00000000-0004-0000-0000-000000000000}"/>
    <hyperlink ref="B10" r:id="rId2" xr:uid="{00000000-0004-0000-0000-000001000000}"/>
    <hyperlink ref="B11" r:id="rId3" xr:uid="{00000000-0004-0000-0000-000002000000}"/>
    <hyperlink ref="B12" r:id="rId4" xr:uid="{00000000-0004-0000-0000-000003000000}"/>
  </hyperlinks>
  <pageMargins left="0.75" right="0.75" top="1" bottom="1" header="0.5" footer="0.5"/>
  <pageSetup fitToHeight="0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80"/>
  <sheetViews>
    <sheetView showGridLines="0" zoomScale="90" workbookViewId="0">
      <pane xSplit="3" ySplit="19" topLeftCell="D2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2" width="16" customWidth="1"/>
    <col min="3" max="3" width="18" customWidth="1"/>
    <col min="4" max="7" width="15" customWidth="1"/>
    <col min="8" max="8" width="14" customWidth="1"/>
    <col min="9" max="9" width="18" customWidth="1"/>
    <col min="10" max="10" width="72" customWidth="1"/>
  </cols>
  <sheetData>
    <row r="1" spans="1:10" ht="18" x14ac:dyDescent="0.25">
      <c r="A1" s="50" t="s">
        <v>33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38.25" x14ac:dyDescent="0.25">
      <c r="A2" s="2" t="s">
        <v>34</v>
      </c>
    </row>
    <row r="4" spans="1:10" x14ac:dyDescent="0.25">
      <c r="A4" s="1" t="s">
        <v>35</v>
      </c>
      <c r="B4" s="8">
        <v>2</v>
      </c>
      <c r="C4" s="1" t="s">
        <v>36</v>
      </c>
      <c r="D4" s="9" t="str">
        <f>CHOOSE($B$4,"Bear","Base","Bull")</f>
        <v>Base</v>
      </c>
    </row>
    <row r="6" spans="1:10" ht="18.95" customHeight="1" x14ac:dyDescent="0.25">
      <c r="A6" s="48" t="s">
        <v>37</v>
      </c>
      <c r="B6" s="49"/>
      <c r="C6" s="49"/>
      <c r="D6" s="49"/>
      <c r="E6" s="49"/>
      <c r="F6" s="49"/>
      <c r="G6" s="49"/>
      <c r="H6" s="49"/>
      <c r="I6" s="49"/>
      <c r="J6" s="49"/>
    </row>
    <row r="7" spans="1:10" ht="30" customHeight="1" x14ac:dyDescent="0.25">
      <c r="A7" s="10" t="s">
        <v>38</v>
      </c>
      <c r="B7" s="10" t="s">
        <v>39</v>
      </c>
      <c r="C7" s="10" t="s">
        <v>40</v>
      </c>
      <c r="D7" s="10" t="s">
        <v>41</v>
      </c>
      <c r="E7" s="10" t="s">
        <v>42</v>
      </c>
      <c r="F7" s="10" t="s">
        <v>43</v>
      </c>
      <c r="G7" s="10" t="s">
        <v>44</v>
      </c>
      <c r="H7" s="10"/>
    </row>
    <row r="8" spans="1:10" x14ac:dyDescent="0.25">
      <c r="A8" s="2" t="s">
        <v>45</v>
      </c>
      <c r="B8" s="2" t="s">
        <v>46</v>
      </c>
      <c r="C8" s="4">
        <f>IS!B21</f>
        <v>13292.982</v>
      </c>
      <c r="D8" s="4">
        <f>IS!C21</f>
        <v>24903.165999999997</v>
      </c>
      <c r="E8" s="4">
        <f>IS!D21</f>
        <v>34474.813999999998</v>
      </c>
      <c r="F8" s="4">
        <f>IS!E21</f>
        <v>49288.095000000001</v>
      </c>
      <c r="G8" s="2" t="s">
        <v>47</v>
      </c>
    </row>
    <row r="9" spans="1:10" ht="25.5" x14ac:dyDescent="0.25">
      <c r="A9" s="2" t="s">
        <v>48</v>
      </c>
      <c r="B9" s="2" t="s">
        <v>49</v>
      </c>
      <c r="C9" s="11">
        <f>IS!B46</f>
        <v>8.6976646774967567E-2</v>
      </c>
      <c r="D9" s="11">
        <f>IS!C46</f>
        <v>0.12128670707973403</v>
      </c>
      <c r="E9" s="11">
        <f>IS!D46</f>
        <v>0.10355585964872779</v>
      </c>
      <c r="F9" s="11">
        <f>IS!E46</f>
        <v>0.10292414425836513</v>
      </c>
      <c r="G9" s="2" t="s">
        <v>50</v>
      </c>
    </row>
    <row r="10" spans="1:10" ht="25.5" x14ac:dyDescent="0.25">
      <c r="A10" s="2" t="s">
        <v>51</v>
      </c>
      <c r="B10" s="2" t="s">
        <v>52</v>
      </c>
      <c r="C10" s="12">
        <f>IS!B5+IS!B13</f>
        <v>8214</v>
      </c>
      <c r="D10" s="12">
        <f>IS!C5+IS!C13</f>
        <v>16248</v>
      </c>
      <c r="E10" s="12">
        <f>IS!D5+IS!D13</f>
        <v>22340</v>
      </c>
      <c r="F10" s="12">
        <f>IS!E5+IS!E13</f>
        <v>31048</v>
      </c>
      <c r="G10" s="2" t="s">
        <v>53</v>
      </c>
    </row>
    <row r="11" spans="1:10" x14ac:dyDescent="0.25">
      <c r="A11" s="2" t="s">
        <v>54</v>
      </c>
      <c r="B11" s="2" t="s">
        <v>46</v>
      </c>
      <c r="C11" s="4">
        <f>IS!B8</f>
        <v>2.0347736093143594</v>
      </c>
      <c r="D11" s="4">
        <f>IS!C8</f>
        <v>2.2945196560196561</v>
      </c>
      <c r="E11" s="4">
        <f>IS!D8</f>
        <v>2.1197924580673302</v>
      </c>
      <c r="F11" s="4">
        <f>IS!E8</f>
        <v>2.1647899497487435</v>
      </c>
      <c r="G11" s="2" t="s">
        <v>55</v>
      </c>
    </row>
    <row r="12" spans="1:10" x14ac:dyDescent="0.25">
      <c r="A12" s="2" t="s">
        <v>56</v>
      </c>
      <c r="B12" s="2" t="s">
        <v>46</v>
      </c>
      <c r="C12" s="4">
        <f>IS!B16</f>
        <v>1.4653912628312247</v>
      </c>
      <c r="D12" s="4">
        <f>IS!C16</f>
        <v>1.5218225372769494</v>
      </c>
      <c r="E12" s="4">
        <f>IS!D16</f>
        <v>1.1586941431670281</v>
      </c>
      <c r="F12" s="4">
        <f>IS!E16</f>
        <v>1.2491181382319669</v>
      </c>
      <c r="G12" s="2" t="s">
        <v>55</v>
      </c>
    </row>
    <row r="13" spans="1:10" ht="25.5" x14ac:dyDescent="0.25">
      <c r="A13" s="2" t="s">
        <v>57</v>
      </c>
      <c r="B13" s="2" t="s">
        <v>49</v>
      </c>
      <c r="C13" s="11">
        <f>CF!B9</f>
        <v>1.4908618698197291E-3</v>
      </c>
      <c r="D13" s="11">
        <f>CF!C9</f>
        <v>0.11646812296878238</v>
      </c>
      <c r="E13" s="11">
        <f>CF!D9</f>
        <v>0.12267715207977627</v>
      </c>
      <c r="F13" s="11">
        <f>CF!E9</f>
        <v>0.12358079572764985</v>
      </c>
      <c r="G13" s="2" t="s">
        <v>50</v>
      </c>
    </row>
    <row r="15" spans="1:10" ht="38.25" x14ac:dyDescent="0.25">
      <c r="A15" s="2" t="s">
        <v>58</v>
      </c>
      <c r="B15" s="13">
        <v>4397</v>
      </c>
      <c r="C15" s="2" t="s">
        <v>59</v>
      </c>
    </row>
    <row r="16" spans="1:10" ht="38.25" x14ac:dyDescent="0.25">
      <c r="A16" s="2" t="s">
        <v>60</v>
      </c>
      <c r="B16" s="13">
        <v>1627</v>
      </c>
      <c r="C16" s="2" t="s">
        <v>59</v>
      </c>
    </row>
    <row r="18" spans="1:10" ht="18.95" customHeight="1" x14ac:dyDescent="0.25">
      <c r="A18" s="48" t="s">
        <v>61</v>
      </c>
      <c r="B18" s="49"/>
      <c r="C18" s="49"/>
      <c r="D18" s="49"/>
      <c r="E18" s="49"/>
      <c r="F18" s="49"/>
      <c r="G18" s="49"/>
      <c r="H18" s="49"/>
      <c r="I18" s="49"/>
      <c r="J18" s="49"/>
    </row>
    <row r="19" spans="1:10" ht="30" customHeight="1" x14ac:dyDescent="0.25">
      <c r="A19" s="10" t="s">
        <v>62</v>
      </c>
      <c r="B19" s="10" t="s">
        <v>39</v>
      </c>
      <c r="C19" s="10" t="s">
        <v>63</v>
      </c>
      <c r="D19" s="10" t="s">
        <v>64</v>
      </c>
      <c r="E19" s="10" t="s">
        <v>65</v>
      </c>
      <c r="F19" s="10" t="s">
        <v>66</v>
      </c>
      <c r="G19" s="10" t="s">
        <v>67</v>
      </c>
      <c r="H19" s="10" t="s">
        <v>68</v>
      </c>
      <c r="I19" s="10" t="s">
        <v>69</v>
      </c>
      <c r="J19" s="10" t="s">
        <v>70</v>
      </c>
    </row>
    <row r="20" spans="1:10" ht="25.5" x14ac:dyDescent="0.25">
      <c r="A20" s="2" t="s">
        <v>71</v>
      </c>
      <c r="B20" s="2" t="s">
        <v>49</v>
      </c>
      <c r="C20" s="2" t="s">
        <v>72</v>
      </c>
      <c r="D20" s="14">
        <v>0.18</v>
      </c>
      <c r="E20" s="14">
        <v>0.25</v>
      </c>
      <c r="F20" s="14">
        <v>0.3</v>
      </c>
      <c r="G20" s="15">
        <f t="shared" ref="G20:G51" si="0">INDEX($D20:$F20,1,$B$4)</f>
        <v>0.25</v>
      </c>
      <c r="H20" s="2" t="s">
        <v>73</v>
      </c>
      <c r="I20" s="2" t="s">
        <v>74</v>
      </c>
      <c r="J20" s="2" t="s">
        <v>75</v>
      </c>
    </row>
    <row r="21" spans="1:10" ht="25.5" x14ac:dyDescent="0.25">
      <c r="A21" s="2" t="s">
        <v>71</v>
      </c>
      <c r="B21" s="2" t="s">
        <v>49</v>
      </c>
      <c r="C21" s="2" t="s">
        <v>76</v>
      </c>
      <c r="D21" s="14">
        <v>0.15</v>
      </c>
      <c r="E21" s="14">
        <v>0.2</v>
      </c>
      <c r="F21" s="14">
        <v>0.25</v>
      </c>
      <c r="G21" s="15">
        <f t="shared" si="0"/>
        <v>0.2</v>
      </c>
      <c r="H21" s="2" t="s">
        <v>73</v>
      </c>
      <c r="I21" s="2" t="s">
        <v>74</v>
      </c>
      <c r="J21" s="2" t="s">
        <v>75</v>
      </c>
    </row>
    <row r="22" spans="1:10" ht="25.5" x14ac:dyDescent="0.25">
      <c r="A22" s="2" t="s">
        <v>71</v>
      </c>
      <c r="B22" s="2" t="s">
        <v>49</v>
      </c>
      <c r="C22" s="2" t="s">
        <v>77</v>
      </c>
      <c r="D22" s="14">
        <v>0.12</v>
      </c>
      <c r="E22" s="14">
        <v>0.16</v>
      </c>
      <c r="F22" s="14">
        <v>0.2</v>
      </c>
      <c r="G22" s="15">
        <f t="shared" si="0"/>
        <v>0.16</v>
      </c>
      <c r="H22" s="2" t="s">
        <v>73</v>
      </c>
      <c r="I22" s="2" t="s">
        <v>74</v>
      </c>
      <c r="J22" s="2" t="s">
        <v>75</v>
      </c>
    </row>
    <row r="23" spans="1:10" ht="25.5" x14ac:dyDescent="0.25">
      <c r="A23" s="2" t="s">
        <v>71</v>
      </c>
      <c r="B23" s="2" t="s">
        <v>49</v>
      </c>
      <c r="C23" s="2" t="s">
        <v>78</v>
      </c>
      <c r="D23" s="14">
        <v>0.1</v>
      </c>
      <c r="E23" s="14">
        <v>0.12</v>
      </c>
      <c r="F23" s="14">
        <v>0.16</v>
      </c>
      <c r="G23" s="15">
        <f t="shared" si="0"/>
        <v>0.12</v>
      </c>
      <c r="H23" s="2" t="s">
        <v>73</v>
      </c>
      <c r="I23" s="2" t="s">
        <v>74</v>
      </c>
      <c r="J23" s="2" t="s">
        <v>75</v>
      </c>
    </row>
    <row r="24" spans="1:10" ht="25.5" x14ac:dyDescent="0.25">
      <c r="A24" s="2" t="s">
        <v>71</v>
      </c>
      <c r="B24" s="2" t="s">
        <v>49</v>
      </c>
      <c r="C24" s="2" t="s">
        <v>79</v>
      </c>
      <c r="D24" s="14">
        <v>0.08</v>
      </c>
      <c r="E24" s="14">
        <v>0.1</v>
      </c>
      <c r="F24" s="14">
        <v>0.12</v>
      </c>
      <c r="G24" s="15">
        <f t="shared" si="0"/>
        <v>0.1</v>
      </c>
      <c r="H24" s="2" t="s">
        <v>73</v>
      </c>
      <c r="I24" s="2" t="s">
        <v>74</v>
      </c>
      <c r="J24" s="2" t="s">
        <v>75</v>
      </c>
    </row>
    <row r="25" spans="1:10" ht="25.5" x14ac:dyDescent="0.25">
      <c r="A25" s="2" t="s">
        <v>80</v>
      </c>
      <c r="B25" s="2" t="s">
        <v>49</v>
      </c>
      <c r="C25" s="2" t="s">
        <v>72</v>
      </c>
      <c r="D25" s="14">
        <v>0.18</v>
      </c>
      <c r="E25" s="14">
        <v>0.25</v>
      </c>
      <c r="F25" s="14">
        <v>0.32</v>
      </c>
      <c r="G25" s="15">
        <f t="shared" si="0"/>
        <v>0.25</v>
      </c>
      <c r="H25" s="2" t="s">
        <v>73</v>
      </c>
      <c r="I25" s="2" t="s">
        <v>74</v>
      </c>
      <c r="J25" s="2" t="s">
        <v>75</v>
      </c>
    </row>
    <row r="26" spans="1:10" ht="25.5" x14ac:dyDescent="0.25">
      <c r="A26" s="2" t="s">
        <v>80</v>
      </c>
      <c r="B26" s="2" t="s">
        <v>49</v>
      </c>
      <c r="C26" s="2" t="s">
        <v>76</v>
      </c>
      <c r="D26" s="14">
        <v>0.16</v>
      </c>
      <c r="E26" s="14">
        <v>0.22</v>
      </c>
      <c r="F26" s="14">
        <v>0.28000000000000003</v>
      </c>
      <c r="G26" s="15">
        <f t="shared" si="0"/>
        <v>0.22</v>
      </c>
      <c r="H26" s="2" t="s">
        <v>73</v>
      </c>
      <c r="I26" s="2" t="s">
        <v>74</v>
      </c>
      <c r="J26" s="2" t="s">
        <v>75</v>
      </c>
    </row>
    <row r="27" spans="1:10" ht="25.5" x14ac:dyDescent="0.25">
      <c r="A27" s="2" t="s">
        <v>80</v>
      </c>
      <c r="B27" s="2" t="s">
        <v>49</v>
      </c>
      <c r="C27" s="2" t="s">
        <v>77</v>
      </c>
      <c r="D27" s="14">
        <v>0.14000000000000001</v>
      </c>
      <c r="E27" s="14">
        <v>0.18</v>
      </c>
      <c r="F27" s="14">
        <v>0.22</v>
      </c>
      <c r="G27" s="15">
        <f t="shared" si="0"/>
        <v>0.18</v>
      </c>
      <c r="H27" s="2" t="s">
        <v>73</v>
      </c>
      <c r="I27" s="2" t="s">
        <v>74</v>
      </c>
      <c r="J27" s="2" t="s">
        <v>75</v>
      </c>
    </row>
    <row r="28" spans="1:10" ht="25.5" x14ac:dyDescent="0.25">
      <c r="A28" s="2" t="s">
        <v>80</v>
      </c>
      <c r="B28" s="2" t="s">
        <v>49</v>
      </c>
      <c r="C28" s="2" t="s">
        <v>78</v>
      </c>
      <c r="D28" s="14">
        <v>0.12</v>
      </c>
      <c r="E28" s="14">
        <v>0.15</v>
      </c>
      <c r="F28" s="14">
        <v>0.18</v>
      </c>
      <c r="G28" s="15">
        <f t="shared" si="0"/>
        <v>0.15</v>
      </c>
      <c r="H28" s="2" t="s">
        <v>73</v>
      </c>
      <c r="I28" s="2" t="s">
        <v>74</v>
      </c>
      <c r="J28" s="2" t="s">
        <v>75</v>
      </c>
    </row>
    <row r="29" spans="1:10" ht="25.5" x14ac:dyDescent="0.25">
      <c r="A29" s="2" t="s">
        <v>80</v>
      </c>
      <c r="B29" s="2" t="s">
        <v>49</v>
      </c>
      <c r="C29" s="2" t="s">
        <v>79</v>
      </c>
      <c r="D29" s="14">
        <v>0.1</v>
      </c>
      <c r="E29" s="14">
        <v>0.12</v>
      </c>
      <c r="F29" s="14">
        <v>0.15</v>
      </c>
      <c r="G29" s="15">
        <f t="shared" si="0"/>
        <v>0.12</v>
      </c>
      <c r="H29" s="2" t="s">
        <v>73</v>
      </c>
      <c r="I29" s="2" t="s">
        <v>74</v>
      </c>
      <c r="J29" s="2" t="s">
        <v>75</v>
      </c>
    </row>
    <row r="30" spans="1:10" ht="25.5" x14ac:dyDescent="0.25">
      <c r="A30" s="2" t="s">
        <v>81</v>
      </c>
      <c r="B30" s="2" t="s">
        <v>49</v>
      </c>
      <c r="C30" s="2" t="s">
        <v>72</v>
      </c>
      <c r="D30" s="14">
        <v>-0.06</v>
      </c>
      <c r="E30" s="14">
        <v>-0.02</v>
      </c>
      <c r="F30" s="14">
        <v>0.01</v>
      </c>
      <c r="G30" s="15">
        <f t="shared" si="0"/>
        <v>-0.02</v>
      </c>
      <c r="H30" s="2" t="s">
        <v>73</v>
      </c>
      <c r="I30" s="2" t="s">
        <v>74</v>
      </c>
      <c r="J30" s="2" t="s">
        <v>75</v>
      </c>
    </row>
    <row r="31" spans="1:10" ht="25.5" x14ac:dyDescent="0.25">
      <c r="A31" s="2" t="s">
        <v>81</v>
      </c>
      <c r="B31" s="2" t="s">
        <v>49</v>
      </c>
      <c r="C31" s="2" t="s">
        <v>76</v>
      </c>
      <c r="D31" s="14">
        <v>-0.01</v>
      </c>
      <c r="E31" s="14">
        <v>0.02</v>
      </c>
      <c r="F31" s="14">
        <v>0.04</v>
      </c>
      <c r="G31" s="15">
        <f t="shared" si="0"/>
        <v>0.02</v>
      </c>
      <c r="H31" s="2" t="s">
        <v>73</v>
      </c>
      <c r="I31" s="2" t="s">
        <v>74</v>
      </c>
      <c r="J31" s="2" t="s">
        <v>75</v>
      </c>
    </row>
    <row r="32" spans="1:10" ht="25.5" x14ac:dyDescent="0.25">
      <c r="A32" s="2" t="s">
        <v>81</v>
      </c>
      <c r="B32" s="2" t="s">
        <v>49</v>
      </c>
      <c r="C32" s="2" t="s">
        <v>77</v>
      </c>
      <c r="D32" s="14">
        <v>0.01</v>
      </c>
      <c r="E32" s="14">
        <v>0.03</v>
      </c>
      <c r="F32" s="14">
        <v>0.04</v>
      </c>
      <c r="G32" s="15">
        <f t="shared" si="0"/>
        <v>0.03</v>
      </c>
      <c r="H32" s="2" t="s">
        <v>73</v>
      </c>
      <c r="I32" s="2" t="s">
        <v>74</v>
      </c>
      <c r="J32" s="2" t="s">
        <v>75</v>
      </c>
    </row>
    <row r="33" spans="1:10" ht="25.5" x14ac:dyDescent="0.25">
      <c r="A33" s="2" t="s">
        <v>81</v>
      </c>
      <c r="B33" s="2" t="s">
        <v>49</v>
      </c>
      <c r="C33" s="2" t="s">
        <v>78</v>
      </c>
      <c r="D33" s="14">
        <v>0.02</v>
      </c>
      <c r="E33" s="14">
        <v>0.03</v>
      </c>
      <c r="F33" s="14">
        <v>0.04</v>
      </c>
      <c r="G33" s="15">
        <f t="shared" si="0"/>
        <v>0.03</v>
      </c>
      <c r="H33" s="2" t="s">
        <v>73</v>
      </c>
      <c r="I33" s="2" t="s">
        <v>74</v>
      </c>
      <c r="J33" s="2" t="s">
        <v>75</v>
      </c>
    </row>
    <row r="34" spans="1:10" ht="25.5" x14ac:dyDescent="0.25">
      <c r="A34" s="2" t="s">
        <v>81</v>
      </c>
      <c r="B34" s="2" t="s">
        <v>49</v>
      </c>
      <c r="C34" s="2" t="s">
        <v>79</v>
      </c>
      <c r="D34" s="14">
        <v>0.02</v>
      </c>
      <c r="E34" s="14">
        <v>0.03</v>
      </c>
      <c r="F34" s="14">
        <v>0.03</v>
      </c>
      <c r="G34" s="15">
        <f t="shared" si="0"/>
        <v>0.03</v>
      </c>
      <c r="H34" s="2" t="s">
        <v>73</v>
      </c>
      <c r="I34" s="2" t="s">
        <v>74</v>
      </c>
      <c r="J34" s="2" t="s">
        <v>75</v>
      </c>
    </row>
    <row r="35" spans="1:10" ht="25.5" x14ac:dyDescent="0.25">
      <c r="A35" s="2" t="s">
        <v>82</v>
      </c>
      <c r="B35" s="2" t="s">
        <v>49</v>
      </c>
      <c r="C35" s="2" t="s">
        <v>72</v>
      </c>
      <c r="D35" s="14">
        <v>-0.04</v>
      </c>
      <c r="E35" s="14">
        <v>0</v>
      </c>
      <c r="F35" s="14">
        <v>0.03</v>
      </c>
      <c r="G35" s="15">
        <f t="shared" si="0"/>
        <v>0</v>
      </c>
      <c r="H35" s="2" t="s">
        <v>73</v>
      </c>
      <c r="I35" s="2" t="s">
        <v>74</v>
      </c>
      <c r="J35" s="2" t="s">
        <v>75</v>
      </c>
    </row>
    <row r="36" spans="1:10" ht="25.5" x14ac:dyDescent="0.25">
      <c r="A36" s="2" t="s">
        <v>82</v>
      </c>
      <c r="B36" s="2" t="s">
        <v>49</v>
      </c>
      <c r="C36" s="2" t="s">
        <v>76</v>
      </c>
      <c r="D36" s="14">
        <v>0</v>
      </c>
      <c r="E36" s="14">
        <v>0.02</v>
      </c>
      <c r="F36" s="14">
        <v>0.04</v>
      </c>
      <c r="G36" s="15">
        <f t="shared" si="0"/>
        <v>0.02</v>
      </c>
      <c r="H36" s="2" t="s">
        <v>73</v>
      </c>
      <c r="I36" s="2" t="s">
        <v>74</v>
      </c>
      <c r="J36" s="2" t="s">
        <v>75</v>
      </c>
    </row>
    <row r="37" spans="1:10" ht="25.5" x14ac:dyDescent="0.25">
      <c r="A37" s="2" t="s">
        <v>82</v>
      </c>
      <c r="B37" s="2" t="s">
        <v>49</v>
      </c>
      <c r="C37" s="2" t="s">
        <v>77</v>
      </c>
      <c r="D37" s="14">
        <v>0.01</v>
      </c>
      <c r="E37" s="14">
        <v>0.03</v>
      </c>
      <c r="F37" s="14">
        <v>0.04</v>
      </c>
      <c r="G37" s="15">
        <f t="shared" si="0"/>
        <v>0.03</v>
      </c>
      <c r="H37" s="2" t="s">
        <v>73</v>
      </c>
      <c r="I37" s="2" t="s">
        <v>74</v>
      </c>
      <c r="J37" s="2" t="s">
        <v>75</v>
      </c>
    </row>
    <row r="38" spans="1:10" ht="25.5" x14ac:dyDescent="0.25">
      <c r="A38" s="2" t="s">
        <v>82</v>
      </c>
      <c r="B38" s="2" t="s">
        <v>49</v>
      </c>
      <c r="C38" s="2" t="s">
        <v>78</v>
      </c>
      <c r="D38" s="14">
        <v>0.02</v>
      </c>
      <c r="E38" s="14">
        <v>0.03</v>
      </c>
      <c r="F38" s="14">
        <v>0.04</v>
      </c>
      <c r="G38" s="15">
        <f t="shared" si="0"/>
        <v>0.03</v>
      </c>
      <c r="H38" s="2" t="s">
        <v>73</v>
      </c>
      <c r="I38" s="2" t="s">
        <v>74</v>
      </c>
      <c r="J38" s="2" t="s">
        <v>75</v>
      </c>
    </row>
    <row r="39" spans="1:10" ht="25.5" x14ac:dyDescent="0.25">
      <c r="A39" s="2" t="s">
        <v>82</v>
      </c>
      <c r="B39" s="2" t="s">
        <v>49</v>
      </c>
      <c r="C39" s="2" t="s">
        <v>79</v>
      </c>
      <c r="D39" s="14">
        <v>0.02</v>
      </c>
      <c r="E39" s="14">
        <v>0.03</v>
      </c>
      <c r="F39" s="14">
        <v>0.03</v>
      </c>
      <c r="G39" s="15">
        <f t="shared" si="0"/>
        <v>0.03</v>
      </c>
      <c r="H39" s="2" t="s">
        <v>73</v>
      </c>
      <c r="I39" s="2" t="s">
        <v>74</v>
      </c>
      <c r="J39" s="2" t="s">
        <v>75</v>
      </c>
    </row>
    <row r="40" spans="1:10" ht="25.5" x14ac:dyDescent="0.25">
      <c r="A40" s="2" t="s">
        <v>83</v>
      </c>
      <c r="B40" s="2" t="s">
        <v>49</v>
      </c>
      <c r="C40" s="2" t="s">
        <v>72</v>
      </c>
      <c r="D40" s="14">
        <v>0.38700000000000001</v>
      </c>
      <c r="E40" s="14">
        <v>0.38200000000000001</v>
      </c>
      <c r="F40" s="14">
        <v>0.378</v>
      </c>
      <c r="G40" s="15">
        <f t="shared" si="0"/>
        <v>0.38200000000000001</v>
      </c>
      <c r="H40" s="2" t="s">
        <v>73</v>
      </c>
      <c r="I40" s="2" t="s">
        <v>74</v>
      </c>
      <c r="J40" s="2" t="s">
        <v>84</v>
      </c>
    </row>
    <row r="41" spans="1:10" ht="25.5" x14ac:dyDescent="0.25">
      <c r="A41" s="2" t="s">
        <v>83</v>
      </c>
      <c r="B41" s="2" t="s">
        <v>49</v>
      </c>
      <c r="C41" s="2" t="s">
        <v>76</v>
      </c>
      <c r="D41" s="14">
        <v>0.38600000000000001</v>
      </c>
      <c r="E41" s="14">
        <v>0.38100000000000001</v>
      </c>
      <c r="F41" s="14">
        <v>0.377</v>
      </c>
      <c r="G41" s="15">
        <f t="shared" si="0"/>
        <v>0.38100000000000001</v>
      </c>
      <c r="H41" s="2" t="s">
        <v>73</v>
      </c>
      <c r="I41" s="2" t="s">
        <v>74</v>
      </c>
      <c r="J41" s="2" t="s">
        <v>84</v>
      </c>
    </row>
    <row r="42" spans="1:10" ht="25.5" x14ac:dyDescent="0.25">
      <c r="A42" s="2" t="s">
        <v>83</v>
      </c>
      <c r="B42" s="2" t="s">
        <v>49</v>
      </c>
      <c r="C42" s="2" t="s">
        <v>77</v>
      </c>
      <c r="D42" s="14">
        <v>0.38500000000000001</v>
      </c>
      <c r="E42" s="14">
        <v>0.38</v>
      </c>
      <c r="F42" s="14">
        <v>0.376</v>
      </c>
      <c r="G42" s="15">
        <f t="shared" si="0"/>
        <v>0.38</v>
      </c>
      <c r="H42" s="2" t="s">
        <v>73</v>
      </c>
      <c r="I42" s="2" t="s">
        <v>74</v>
      </c>
      <c r="J42" s="2" t="s">
        <v>84</v>
      </c>
    </row>
    <row r="43" spans="1:10" ht="25.5" x14ac:dyDescent="0.25">
      <c r="A43" s="2" t="s">
        <v>83</v>
      </c>
      <c r="B43" s="2" t="s">
        <v>49</v>
      </c>
      <c r="C43" s="2" t="s">
        <v>78</v>
      </c>
      <c r="D43" s="14">
        <v>0.38400000000000001</v>
      </c>
      <c r="E43" s="14">
        <v>0.379</v>
      </c>
      <c r="F43" s="14">
        <v>0.375</v>
      </c>
      <c r="G43" s="15">
        <f t="shared" si="0"/>
        <v>0.379</v>
      </c>
      <c r="H43" s="2" t="s">
        <v>73</v>
      </c>
      <c r="I43" s="2" t="s">
        <v>74</v>
      </c>
      <c r="J43" s="2" t="s">
        <v>84</v>
      </c>
    </row>
    <row r="44" spans="1:10" ht="25.5" x14ac:dyDescent="0.25">
      <c r="A44" s="2" t="s">
        <v>83</v>
      </c>
      <c r="B44" s="2" t="s">
        <v>49</v>
      </c>
      <c r="C44" s="2" t="s">
        <v>79</v>
      </c>
      <c r="D44" s="14">
        <v>0.38300000000000001</v>
      </c>
      <c r="E44" s="14">
        <v>0.378</v>
      </c>
      <c r="F44" s="14">
        <v>0.374</v>
      </c>
      <c r="G44" s="15">
        <f t="shared" si="0"/>
        <v>0.378</v>
      </c>
      <c r="H44" s="2" t="s">
        <v>73</v>
      </c>
      <c r="I44" s="2" t="s">
        <v>74</v>
      </c>
      <c r="J44" s="2" t="s">
        <v>84</v>
      </c>
    </row>
    <row r="45" spans="1:10" ht="25.5" x14ac:dyDescent="0.25">
      <c r="A45" s="2" t="s">
        <v>85</v>
      </c>
      <c r="B45" s="2" t="s">
        <v>49</v>
      </c>
      <c r="C45" s="2" t="s">
        <v>72</v>
      </c>
      <c r="D45" s="14">
        <v>0.23300000000000001</v>
      </c>
      <c r="E45" s="14">
        <v>0.22800000000000001</v>
      </c>
      <c r="F45" s="14">
        <v>0.224</v>
      </c>
      <c r="G45" s="15">
        <f t="shared" si="0"/>
        <v>0.22800000000000001</v>
      </c>
      <c r="H45" s="2" t="s">
        <v>73</v>
      </c>
      <c r="I45" s="2" t="s">
        <v>74</v>
      </c>
      <c r="J45" s="2" t="s">
        <v>84</v>
      </c>
    </row>
    <row r="46" spans="1:10" ht="25.5" x14ac:dyDescent="0.25">
      <c r="A46" s="2" t="s">
        <v>85</v>
      </c>
      <c r="B46" s="2" t="s">
        <v>49</v>
      </c>
      <c r="C46" s="2" t="s">
        <v>76</v>
      </c>
      <c r="D46" s="14">
        <v>0.23</v>
      </c>
      <c r="E46" s="14">
        <v>0.22500000000000001</v>
      </c>
      <c r="F46" s="14">
        <v>0.221</v>
      </c>
      <c r="G46" s="15">
        <f t="shared" si="0"/>
        <v>0.22500000000000001</v>
      </c>
      <c r="H46" s="2" t="s">
        <v>73</v>
      </c>
      <c r="I46" s="2" t="s">
        <v>74</v>
      </c>
      <c r="J46" s="2" t="s">
        <v>84</v>
      </c>
    </row>
    <row r="47" spans="1:10" ht="25.5" x14ac:dyDescent="0.25">
      <c r="A47" s="2" t="s">
        <v>85</v>
      </c>
      <c r="B47" s="2" t="s">
        <v>49</v>
      </c>
      <c r="C47" s="2" t="s">
        <v>77</v>
      </c>
      <c r="D47" s="14">
        <v>0.22700000000000001</v>
      </c>
      <c r="E47" s="14">
        <v>0.222</v>
      </c>
      <c r="F47" s="14">
        <v>0.218</v>
      </c>
      <c r="G47" s="15">
        <f t="shared" si="0"/>
        <v>0.222</v>
      </c>
      <c r="H47" s="2" t="s">
        <v>73</v>
      </c>
      <c r="I47" s="2" t="s">
        <v>74</v>
      </c>
      <c r="J47" s="2" t="s">
        <v>84</v>
      </c>
    </row>
    <row r="48" spans="1:10" ht="25.5" x14ac:dyDescent="0.25">
      <c r="A48" s="2" t="s">
        <v>85</v>
      </c>
      <c r="B48" s="2" t="s">
        <v>49</v>
      </c>
      <c r="C48" s="2" t="s">
        <v>78</v>
      </c>
      <c r="D48" s="14">
        <v>0.22500000000000001</v>
      </c>
      <c r="E48" s="14">
        <v>0.22</v>
      </c>
      <c r="F48" s="14">
        <v>0.216</v>
      </c>
      <c r="G48" s="15">
        <f t="shared" si="0"/>
        <v>0.22</v>
      </c>
      <c r="H48" s="2" t="s">
        <v>73</v>
      </c>
      <c r="I48" s="2" t="s">
        <v>74</v>
      </c>
      <c r="J48" s="2" t="s">
        <v>84</v>
      </c>
    </row>
    <row r="49" spans="1:10" ht="25.5" x14ac:dyDescent="0.25">
      <c r="A49" s="2" t="s">
        <v>85</v>
      </c>
      <c r="B49" s="2" t="s">
        <v>49</v>
      </c>
      <c r="C49" s="2" t="s">
        <v>79</v>
      </c>
      <c r="D49" s="14">
        <v>0.223</v>
      </c>
      <c r="E49" s="14">
        <v>0.218</v>
      </c>
      <c r="F49" s="14">
        <v>0.214</v>
      </c>
      <c r="G49" s="15">
        <f t="shared" si="0"/>
        <v>0.218</v>
      </c>
      <c r="H49" s="2" t="s">
        <v>73</v>
      </c>
      <c r="I49" s="2" t="s">
        <v>74</v>
      </c>
      <c r="J49" s="2" t="s">
        <v>84</v>
      </c>
    </row>
    <row r="50" spans="1:10" ht="25.5" x14ac:dyDescent="0.25">
      <c r="A50" s="2" t="s">
        <v>86</v>
      </c>
      <c r="B50" s="2" t="s">
        <v>49</v>
      </c>
      <c r="C50" s="2" t="s">
        <v>72</v>
      </c>
      <c r="D50" s="14">
        <v>3.3000000000000002E-2</v>
      </c>
      <c r="E50" s="14">
        <v>3.2000000000000001E-2</v>
      </c>
      <c r="F50" s="14">
        <v>3.1E-2</v>
      </c>
      <c r="G50" s="15">
        <f t="shared" si="0"/>
        <v>3.2000000000000001E-2</v>
      </c>
      <c r="H50" s="2" t="s">
        <v>73</v>
      </c>
      <c r="I50" s="2" t="s">
        <v>74</v>
      </c>
      <c r="J50" s="2" t="s">
        <v>84</v>
      </c>
    </row>
    <row r="51" spans="1:10" ht="25.5" x14ac:dyDescent="0.25">
      <c r="A51" s="2" t="s">
        <v>86</v>
      </c>
      <c r="B51" s="2" t="s">
        <v>49</v>
      </c>
      <c r="C51" s="2" t="s">
        <v>76</v>
      </c>
      <c r="D51" s="14">
        <v>3.2000000000000001E-2</v>
      </c>
      <c r="E51" s="14">
        <v>3.1E-2</v>
      </c>
      <c r="F51" s="14">
        <v>0.03</v>
      </c>
      <c r="G51" s="15">
        <f t="shared" si="0"/>
        <v>3.1E-2</v>
      </c>
      <c r="H51" s="2" t="s">
        <v>73</v>
      </c>
      <c r="I51" s="2" t="s">
        <v>74</v>
      </c>
      <c r="J51" s="2" t="s">
        <v>84</v>
      </c>
    </row>
    <row r="52" spans="1:10" ht="25.5" x14ac:dyDescent="0.25">
      <c r="A52" s="2" t="s">
        <v>86</v>
      </c>
      <c r="B52" s="2" t="s">
        <v>49</v>
      </c>
      <c r="C52" s="2" t="s">
        <v>77</v>
      </c>
      <c r="D52" s="14">
        <v>3.1E-2</v>
      </c>
      <c r="E52" s="14">
        <v>0.03</v>
      </c>
      <c r="F52" s="14">
        <v>2.9000000000000001E-2</v>
      </c>
      <c r="G52" s="15">
        <f t="shared" ref="G52:G83" si="1">INDEX($D52:$F52,1,$B$4)</f>
        <v>0.03</v>
      </c>
      <c r="H52" s="2" t="s">
        <v>73</v>
      </c>
      <c r="I52" s="2" t="s">
        <v>74</v>
      </c>
      <c r="J52" s="2" t="s">
        <v>84</v>
      </c>
    </row>
    <row r="53" spans="1:10" ht="25.5" x14ac:dyDescent="0.25">
      <c r="A53" s="2" t="s">
        <v>86</v>
      </c>
      <c r="B53" s="2" t="s">
        <v>49</v>
      </c>
      <c r="C53" s="2" t="s">
        <v>78</v>
      </c>
      <c r="D53" s="14">
        <v>0.03</v>
      </c>
      <c r="E53" s="14">
        <v>2.9000000000000001E-2</v>
      </c>
      <c r="F53" s="14">
        <v>2.8000000000000001E-2</v>
      </c>
      <c r="G53" s="15">
        <f t="shared" si="1"/>
        <v>2.9000000000000001E-2</v>
      </c>
      <c r="H53" s="2" t="s">
        <v>73</v>
      </c>
      <c r="I53" s="2" t="s">
        <v>74</v>
      </c>
      <c r="J53" s="2" t="s">
        <v>84</v>
      </c>
    </row>
    <row r="54" spans="1:10" ht="25.5" x14ac:dyDescent="0.25">
      <c r="A54" s="2" t="s">
        <v>86</v>
      </c>
      <c r="B54" s="2" t="s">
        <v>49</v>
      </c>
      <c r="C54" s="2" t="s">
        <v>79</v>
      </c>
      <c r="D54" s="14">
        <v>2.9000000000000001E-2</v>
      </c>
      <c r="E54" s="14">
        <v>2.8000000000000001E-2</v>
      </c>
      <c r="F54" s="14">
        <v>2.7E-2</v>
      </c>
      <c r="G54" s="15">
        <f t="shared" si="1"/>
        <v>2.8000000000000001E-2</v>
      </c>
      <c r="H54" s="2" t="s">
        <v>73</v>
      </c>
      <c r="I54" s="2" t="s">
        <v>74</v>
      </c>
      <c r="J54" s="2" t="s">
        <v>84</v>
      </c>
    </row>
    <row r="55" spans="1:10" ht="25.5" x14ac:dyDescent="0.25">
      <c r="A55" s="2" t="s">
        <v>87</v>
      </c>
      <c r="B55" s="2" t="s">
        <v>49</v>
      </c>
      <c r="C55" s="2" t="s">
        <v>72</v>
      </c>
      <c r="D55" s="14">
        <v>0.14699999999999999</v>
      </c>
      <c r="E55" s="14">
        <v>0.14000000000000001</v>
      </c>
      <c r="F55" s="14">
        <v>0.13500000000000001</v>
      </c>
      <c r="G55" s="15">
        <f t="shared" si="1"/>
        <v>0.14000000000000001</v>
      </c>
      <c r="H55" s="2" t="s">
        <v>73</v>
      </c>
      <c r="I55" s="2" t="s">
        <v>74</v>
      </c>
      <c r="J55" s="2" t="s">
        <v>84</v>
      </c>
    </row>
    <row r="56" spans="1:10" ht="25.5" x14ac:dyDescent="0.25">
      <c r="A56" s="2" t="s">
        <v>87</v>
      </c>
      <c r="B56" s="2" t="s">
        <v>49</v>
      </c>
      <c r="C56" s="2" t="s">
        <v>76</v>
      </c>
      <c r="D56" s="14">
        <v>0.14499999999999999</v>
      </c>
      <c r="E56" s="14">
        <v>0.13800000000000001</v>
      </c>
      <c r="F56" s="14">
        <v>0.13300000000000001</v>
      </c>
      <c r="G56" s="15">
        <f t="shared" si="1"/>
        <v>0.13800000000000001</v>
      </c>
      <c r="H56" s="2" t="s">
        <v>73</v>
      </c>
      <c r="I56" s="2" t="s">
        <v>74</v>
      </c>
      <c r="J56" s="2" t="s">
        <v>84</v>
      </c>
    </row>
    <row r="57" spans="1:10" ht="25.5" x14ac:dyDescent="0.25">
      <c r="A57" s="2" t="s">
        <v>87</v>
      </c>
      <c r="B57" s="2" t="s">
        <v>49</v>
      </c>
      <c r="C57" s="2" t="s">
        <v>77</v>
      </c>
      <c r="D57" s="14">
        <v>0.14399999999999999</v>
      </c>
      <c r="E57" s="14">
        <v>0.13700000000000001</v>
      </c>
      <c r="F57" s="14">
        <v>0.13100000000000001</v>
      </c>
      <c r="G57" s="15">
        <f t="shared" si="1"/>
        <v>0.13700000000000001</v>
      </c>
      <c r="H57" s="2" t="s">
        <v>73</v>
      </c>
      <c r="I57" s="2" t="s">
        <v>74</v>
      </c>
      <c r="J57" s="2" t="s">
        <v>84</v>
      </c>
    </row>
    <row r="58" spans="1:10" ht="25.5" x14ac:dyDescent="0.25">
      <c r="A58" s="2" t="s">
        <v>87</v>
      </c>
      <c r="B58" s="2" t="s">
        <v>49</v>
      </c>
      <c r="C58" s="2" t="s">
        <v>78</v>
      </c>
      <c r="D58" s="14">
        <v>0.14299999999999999</v>
      </c>
      <c r="E58" s="14">
        <v>0.13600000000000001</v>
      </c>
      <c r="F58" s="14">
        <v>0.13</v>
      </c>
      <c r="G58" s="15">
        <f t="shared" si="1"/>
        <v>0.13600000000000001</v>
      </c>
      <c r="H58" s="2" t="s">
        <v>73</v>
      </c>
      <c r="I58" s="2" t="s">
        <v>74</v>
      </c>
      <c r="J58" s="2" t="s">
        <v>84</v>
      </c>
    </row>
    <row r="59" spans="1:10" ht="25.5" x14ac:dyDescent="0.25">
      <c r="A59" s="2" t="s">
        <v>87</v>
      </c>
      <c r="B59" s="2" t="s">
        <v>49</v>
      </c>
      <c r="C59" s="2" t="s">
        <v>79</v>
      </c>
      <c r="D59" s="14">
        <v>0.14199999999999999</v>
      </c>
      <c r="E59" s="14">
        <v>0.13500000000000001</v>
      </c>
      <c r="F59" s="14">
        <v>0.129</v>
      </c>
      <c r="G59" s="15">
        <f t="shared" si="1"/>
        <v>0.13500000000000001</v>
      </c>
      <c r="H59" s="2" t="s">
        <v>73</v>
      </c>
      <c r="I59" s="2" t="s">
        <v>74</v>
      </c>
      <c r="J59" s="2" t="s">
        <v>84</v>
      </c>
    </row>
    <row r="60" spans="1:10" ht="25.5" x14ac:dyDescent="0.25">
      <c r="A60" s="2" t="s">
        <v>88</v>
      </c>
      <c r="B60" s="2" t="s">
        <v>49</v>
      </c>
      <c r="C60" s="2" t="s">
        <v>72</v>
      </c>
      <c r="D60" s="14">
        <v>5.6000000000000001E-2</v>
      </c>
      <c r="E60" s="14">
        <v>5.1999999999999998E-2</v>
      </c>
      <c r="F60" s="14">
        <v>4.9000000000000002E-2</v>
      </c>
      <c r="G60" s="15">
        <f t="shared" si="1"/>
        <v>5.1999999999999998E-2</v>
      </c>
      <c r="H60" s="2" t="s">
        <v>73</v>
      </c>
      <c r="I60" s="2" t="s">
        <v>74</v>
      </c>
      <c r="J60" s="2" t="s">
        <v>84</v>
      </c>
    </row>
    <row r="61" spans="1:10" ht="25.5" x14ac:dyDescent="0.25">
      <c r="A61" s="2" t="s">
        <v>88</v>
      </c>
      <c r="B61" s="2" t="s">
        <v>49</v>
      </c>
      <c r="C61" s="2" t="s">
        <v>76</v>
      </c>
      <c r="D61" s="14">
        <v>5.5E-2</v>
      </c>
      <c r="E61" s="14">
        <v>5.0999999999999997E-2</v>
      </c>
      <c r="F61" s="14">
        <v>4.8000000000000001E-2</v>
      </c>
      <c r="G61" s="15">
        <f t="shared" si="1"/>
        <v>5.0999999999999997E-2</v>
      </c>
      <c r="H61" s="2" t="s">
        <v>73</v>
      </c>
      <c r="I61" s="2" t="s">
        <v>74</v>
      </c>
      <c r="J61" s="2" t="s">
        <v>84</v>
      </c>
    </row>
    <row r="62" spans="1:10" ht="25.5" x14ac:dyDescent="0.25">
      <c r="A62" s="2" t="s">
        <v>88</v>
      </c>
      <c r="B62" s="2" t="s">
        <v>49</v>
      </c>
      <c r="C62" s="2" t="s">
        <v>77</v>
      </c>
      <c r="D62" s="14">
        <v>5.3999999999999999E-2</v>
      </c>
      <c r="E62" s="14">
        <v>0.05</v>
      </c>
      <c r="F62" s="14">
        <v>4.7E-2</v>
      </c>
      <c r="G62" s="15">
        <f t="shared" si="1"/>
        <v>0.05</v>
      </c>
      <c r="H62" s="2" t="s">
        <v>73</v>
      </c>
      <c r="I62" s="2" t="s">
        <v>74</v>
      </c>
      <c r="J62" s="2" t="s">
        <v>84</v>
      </c>
    </row>
    <row r="63" spans="1:10" ht="25.5" x14ac:dyDescent="0.25">
      <c r="A63" s="2" t="s">
        <v>88</v>
      </c>
      <c r="B63" s="2" t="s">
        <v>49</v>
      </c>
      <c r="C63" s="2" t="s">
        <v>78</v>
      </c>
      <c r="D63" s="14">
        <v>5.2999999999999999E-2</v>
      </c>
      <c r="E63" s="14">
        <v>4.9000000000000002E-2</v>
      </c>
      <c r="F63" s="14">
        <v>4.5999999999999999E-2</v>
      </c>
      <c r="G63" s="15">
        <f t="shared" si="1"/>
        <v>4.9000000000000002E-2</v>
      </c>
      <c r="H63" s="2" t="s">
        <v>73</v>
      </c>
      <c r="I63" s="2" t="s">
        <v>74</v>
      </c>
      <c r="J63" s="2" t="s">
        <v>84</v>
      </c>
    </row>
    <row r="64" spans="1:10" ht="25.5" x14ac:dyDescent="0.25">
      <c r="A64" s="2" t="s">
        <v>88</v>
      </c>
      <c r="B64" s="2" t="s">
        <v>49</v>
      </c>
      <c r="C64" s="2" t="s">
        <v>79</v>
      </c>
      <c r="D64" s="14">
        <v>5.1999999999999998E-2</v>
      </c>
      <c r="E64" s="14">
        <v>4.8000000000000001E-2</v>
      </c>
      <c r="F64" s="14">
        <v>4.4999999999999998E-2</v>
      </c>
      <c r="G64" s="15">
        <f t="shared" si="1"/>
        <v>4.8000000000000001E-2</v>
      </c>
      <c r="H64" s="2" t="s">
        <v>73</v>
      </c>
      <c r="I64" s="2" t="s">
        <v>74</v>
      </c>
      <c r="J64" s="2" t="s">
        <v>84</v>
      </c>
    </row>
    <row r="65" spans="1:10" ht="25.5" x14ac:dyDescent="0.25">
      <c r="A65" s="2" t="s">
        <v>89</v>
      </c>
      <c r="B65" s="2" t="s">
        <v>49</v>
      </c>
      <c r="C65" s="2" t="s">
        <v>72</v>
      </c>
      <c r="D65" s="14">
        <v>6.6000000000000003E-2</v>
      </c>
      <c r="E65" s="14">
        <v>6.2E-2</v>
      </c>
      <c r="F65" s="14">
        <v>5.8999999999999997E-2</v>
      </c>
      <c r="G65" s="15">
        <f t="shared" si="1"/>
        <v>6.2E-2</v>
      </c>
      <c r="H65" s="2" t="s">
        <v>73</v>
      </c>
      <c r="I65" s="2" t="s">
        <v>74</v>
      </c>
      <c r="J65" s="2" t="s">
        <v>84</v>
      </c>
    </row>
    <row r="66" spans="1:10" ht="25.5" x14ac:dyDescent="0.25">
      <c r="A66" s="2" t="s">
        <v>89</v>
      </c>
      <c r="B66" s="2" t="s">
        <v>49</v>
      </c>
      <c r="C66" s="2" t="s">
        <v>76</v>
      </c>
      <c r="D66" s="14">
        <v>6.4000000000000001E-2</v>
      </c>
      <c r="E66" s="14">
        <v>0.06</v>
      </c>
      <c r="F66" s="14">
        <v>5.7000000000000002E-2</v>
      </c>
      <c r="G66" s="15">
        <f t="shared" si="1"/>
        <v>0.06</v>
      </c>
      <c r="H66" s="2" t="s">
        <v>73</v>
      </c>
      <c r="I66" s="2" t="s">
        <v>74</v>
      </c>
      <c r="J66" s="2" t="s">
        <v>84</v>
      </c>
    </row>
    <row r="67" spans="1:10" ht="25.5" x14ac:dyDescent="0.25">
      <c r="A67" s="2" t="s">
        <v>89</v>
      </c>
      <c r="B67" s="2" t="s">
        <v>49</v>
      </c>
      <c r="C67" s="2" t="s">
        <v>77</v>
      </c>
      <c r="D67" s="14">
        <v>6.0999999999999999E-2</v>
      </c>
      <c r="E67" s="14">
        <v>5.7000000000000002E-2</v>
      </c>
      <c r="F67" s="14">
        <v>5.3999999999999999E-2</v>
      </c>
      <c r="G67" s="15">
        <f t="shared" si="1"/>
        <v>5.7000000000000002E-2</v>
      </c>
      <c r="H67" s="2" t="s">
        <v>73</v>
      </c>
      <c r="I67" s="2" t="s">
        <v>74</v>
      </c>
      <c r="J67" s="2" t="s">
        <v>84</v>
      </c>
    </row>
    <row r="68" spans="1:10" ht="25.5" x14ac:dyDescent="0.25">
      <c r="A68" s="2" t="s">
        <v>89</v>
      </c>
      <c r="B68" s="2" t="s">
        <v>49</v>
      </c>
      <c r="C68" s="2" t="s">
        <v>78</v>
      </c>
      <c r="D68" s="14">
        <v>6.0999999999999999E-2</v>
      </c>
      <c r="E68" s="14">
        <v>5.7000000000000002E-2</v>
      </c>
      <c r="F68" s="14">
        <v>5.3999999999999999E-2</v>
      </c>
      <c r="G68" s="15">
        <f t="shared" si="1"/>
        <v>5.7000000000000002E-2</v>
      </c>
      <c r="H68" s="2" t="s">
        <v>73</v>
      </c>
      <c r="I68" s="2" t="s">
        <v>74</v>
      </c>
      <c r="J68" s="2" t="s">
        <v>84</v>
      </c>
    </row>
    <row r="69" spans="1:10" ht="25.5" x14ac:dyDescent="0.25">
      <c r="A69" s="2" t="s">
        <v>89</v>
      </c>
      <c r="B69" s="2" t="s">
        <v>49</v>
      </c>
      <c r="C69" s="2" t="s">
        <v>79</v>
      </c>
      <c r="D69" s="14">
        <v>5.8999999999999997E-2</v>
      </c>
      <c r="E69" s="14">
        <v>5.5E-2</v>
      </c>
      <c r="F69" s="14">
        <v>5.1999999999999998E-2</v>
      </c>
      <c r="G69" s="15">
        <f t="shared" si="1"/>
        <v>5.5E-2</v>
      </c>
      <c r="H69" s="2" t="s">
        <v>73</v>
      </c>
      <c r="I69" s="2" t="s">
        <v>74</v>
      </c>
      <c r="J69" s="2" t="s">
        <v>84</v>
      </c>
    </row>
    <row r="70" spans="1:10" ht="25.5" x14ac:dyDescent="0.25">
      <c r="A70" s="2" t="s">
        <v>90</v>
      </c>
      <c r="B70" s="2" t="s">
        <v>49</v>
      </c>
      <c r="C70" s="2" t="s">
        <v>72</v>
      </c>
      <c r="D70" s="14">
        <v>6.0000000000000001E-3</v>
      </c>
      <c r="E70" s="14">
        <v>4.0000000000000001E-3</v>
      </c>
      <c r="F70" s="14">
        <v>3.0000000000000001E-3</v>
      </c>
      <c r="G70" s="15">
        <f t="shared" si="1"/>
        <v>4.0000000000000001E-3</v>
      </c>
      <c r="H70" s="2" t="s">
        <v>73</v>
      </c>
      <c r="I70" s="2" t="s">
        <v>74</v>
      </c>
      <c r="J70" s="2" t="s">
        <v>84</v>
      </c>
    </row>
    <row r="71" spans="1:10" ht="25.5" x14ac:dyDescent="0.25">
      <c r="A71" s="2" t="s">
        <v>90</v>
      </c>
      <c r="B71" s="2" t="s">
        <v>49</v>
      </c>
      <c r="C71" s="2" t="s">
        <v>76</v>
      </c>
      <c r="D71" s="14">
        <v>6.0000000000000001E-3</v>
      </c>
      <c r="E71" s="14">
        <v>4.0000000000000001E-3</v>
      </c>
      <c r="F71" s="14">
        <v>3.0000000000000001E-3</v>
      </c>
      <c r="G71" s="15">
        <f t="shared" si="1"/>
        <v>4.0000000000000001E-3</v>
      </c>
      <c r="H71" s="2" t="s">
        <v>73</v>
      </c>
      <c r="I71" s="2" t="s">
        <v>74</v>
      </c>
      <c r="J71" s="2" t="s">
        <v>84</v>
      </c>
    </row>
    <row r="72" spans="1:10" ht="25.5" x14ac:dyDescent="0.25">
      <c r="A72" s="2" t="s">
        <v>90</v>
      </c>
      <c r="B72" s="2" t="s">
        <v>49</v>
      </c>
      <c r="C72" s="2" t="s">
        <v>77</v>
      </c>
      <c r="D72" s="14">
        <v>6.0000000000000001E-3</v>
      </c>
      <c r="E72" s="14">
        <v>4.0000000000000001E-3</v>
      </c>
      <c r="F72" s="14">
        <v>3.0000000000000001E-3</v>
      </c>
      <c r="G72" s="15">
        <f t="shared" si="1"/>
        <v>4.0000000000000001E-3</v>
      </c>
      <c r="H72" s="2" t="s">
        <v>73</v>
      </c>
      <c r="I72" s="2" t="s">
        <v>74</v>
      </c>
      <c r="J72" s="2" t="s">
        <v>84</v>
      </c>
    </row>
    <row r="73" spans="1:10" ht="25.5" x14ac:dyDescent="0.25">
      <c r="A73" s="2" t="s">
        <v>90</v>
      </c>
      <c r="B73" s="2" t="s">
        <v>49</v>
      </c>
      <c r="C73" s="2" t="s">
        <v>78</v>
      </c>
      <c r="D73" s="14">
        <v>5.0000000000000001E-3</v>
      </c>
      <c r="E73" s="14">
        <v>3.0000000000000001E-3</v>
      </c>
      <c r="F73" s="14">
        <v>2E-3</v>
      </c>
      <c r="G73" s="15">
        <f t="shared" si="1"/>
        <v>3.0000000000000001E-3</v>
      </c>
      <c r="H73" s="2" t="s">
        <v>73</v>
      </c>
      <c r="I73" s="2" t="s">
        <v>74</v>
      </c>
      <c r="J73" s="2" t="s">
        <v>84</v>
      </c>
    </row>
    <row r="74" spans="1:10" ht="25.5" x14ac:dyDescent="0.25">
      <c r="A74" s="2" t="s">
        <v>90</v>
      </c>
      <c r="B74" s="2" t="s">
        <v>49</v>
      </c>
      <c r="C74" s="2" t="s">
        <v>79</v>
      </c>
      <c r="D74" s="14">
        <v>5.0000000000000001E-3</v>
      </c>
      <c r="E74" s="14">
        <v>3.0000000000000001E-3</v>
      </c>
      <c r="F74" s="14">
        <v>2E-3</v>
      </c>
      <c r="G74" s="15">
        <f t="shared" si="1"/>
        <v>3.0000000000000001E-3</v>
      </c>
      <c r="H74" s="2" t="s">
        <v>73</v>
      </c>
      <c r="I74" s="2" t="s">
        <v>74</v>
      </c>
      <c r="J74" s="2" t="s">
        <v>84</v>
      </c>
    </row>
    <row r="75" spans="1:10" ht="25.5" x14ac:dyDescent="0.25">
      <c r="A75" s="2" t="s">
        <v>91</v>
      </c>
      <c r="B75" s="2" t="s">
        <v>49</v>
      </c>
      <c r="C75" s="2" t="s">
        <v>72</v>
      </c>
      <c r="D75" s="14">
        <v>1E-3</v>
      </c>
      <c r="E75" s="14">
        <v>3.5000000000000001E-3</v>
      </c>
      <c r="F75" s="14">
        <v>5.0000000000000001E-3</v>
      </c>
      <c r="G75" s="15">
        <f t="shared" si="1"/>
        <v>3.5000000000000001E-3</v>
      </c>
      <c r="H75" s="2" t="s">
        <v>73</v>
      </c>
      <c r="I75" s="2" t="s">
        <v>74</v>
      </c>
      <c r="J75" s="2" t="s">
        <v>84</v>
      </c>
    </row>
    <row r="76" spans="1:10" ht="25.5" x14ac:dyDescent="0.25">
      <c r="A76" s="2" t="s">
        <v>91</v>
      </c>
      <c r="B76" s="2" t="s">
        <v>49</v>
      </c>
      <c r="C76" s="2" t="s">
        <v>76</v>
      </c>
      <c r="D76" s="14">
        <v>1E-3</v>
      </c>
      <c r="E76" s="14">
        <v>3.0000000000000001E-3</v>
      </c>
      <c r="F76" s="14">
        <v>4.4999999999999997E-3</v>
      </c>
      <c r="G76" s="15">
        <f t="shared" si="1"/>
        <v>3.0000000000000001E-3</v>
      </c>
      <c r="H76" s="2" t="s">
        <v>73</v>
      </c>
      <c r="I76" s="2" t="s">
        <v>74</v>
      </c>
      <c r="J76" s="2" t="s">
        <v>84</v>
      </c>
    </row>
    <row r="77" spans="1:10" ht="25.5" x14ac:dyDescent="0.25">
      <c r="A77" s="2" t="s">
        <v>91</v>
      </c>
      <c r="B77" s="2" t="s">
        <v>49</v>
      </c>
      <c r="C77" s="2" t="s">
        <v>77</v>
      </c>
      <c r="D77" s="14">
        <v>1E-3</v>
      </c>
      <c r="E77" s="14">
        <v>2.5000000000000001E-3</v>
      </c>
      <c r="F77" s="14">
        <v>4.0000000000000001E-3</v>
      </c>
      <c r="G77" s="15">
        <f t="shared" si="1"/>
        <v>2.5000000000000001E-3</v>
      </c>
      <c r="H77" s="2" t="s">
        <v>73</v>
      </c>
      <c r="I77" s="2" t="s">
        <v>74</v>
      </c>
      <c r="J77" s="2" t="s">
        <v>84</v>
      </c>
    </row>
    <row r="78" spans="1:10" ht="25.5" x14ac:dyDescent="0.25">
      <c r="A78" s="2" t="s">
        <v>91</v>
      </c>
      <c r="B78" s="2" t="s">
        <v>49</v>
      </c>
      <c r="C78" s="2" t="s">
        <v>78</v>
      </c>
      <c r="D78" s="14">
        <v>1E-3</v>
      </c>
      <c r="E78" s="14">
        <v>2E-3</v>
      </c>
      <c r="F78" s="14">
        <v>3.5000000000000001E-3</v>
      </c>
      <c r="G78" s="15">
        <f t="shared" si="1"/>
        <v>2E-3</v>
      </c>
      <c r="H78" s="2" t="s">
        <v>73</v>
      </c>
      <c r="I78" s="2" t="s">
        <v>74</v>
      </c>
      <c r="J78" s="2" t="s">
        <v>84</v>
      </c>
    </row>
    <row r="79" spans="1:10" ht="25.5" x14ac:dyDescent="0.25">
      <c r="A79" s="2" t="s">
        <v>91</v>
      </c>
      <c r="B79" s="2" t="s">
        <v>49</v>
      </c>
      <c r="C79" s="2" t="s">
        <v>79</v>
      </c>
      <c r="D79" s="14">
        <v>1E-3</v>
      </c>
      <c r="E79" s="14">
        <v>2E-3</v>
      </c>
      <c r="F79" s="14">
        <v>3.0000000000000001E-3</v>
      </c>
      <c r="G79" s="15">
        <f t="shared" si="1"/>
        <v>2E-3</v>
      </c>
      <c r="H79" s="2" t="s">
        <v>73</v>
      </c>
      <c r="I79" s="2" t="s">
        <v>74</v>
      </c>
      <c r="J79" s="2" t="s">
        <v>84</v>
      </c>
    </row>
    <row r="80" spans="1:10" ht="25.5" x14ac:dyDescent="0.25">
      <c r="A80" s="2" t="s">
        <v>92</v>
      </c>
      <c r="B80" s="2" t="s">
        <v>49</v>
      </c>
      <c r="C80" s="2" t="s">
        <v>72</v>
      </c>
      <c r="D80" s="14">
        <v>0.3</v>
      </c>
      <c r="E80" s="14">
        <v>0.28000000000000003</v>
      </c>
      <c r="F80" s="14">
        <v>0.26</v>
      </c>
      <c r="G80" s="15">
        <f t="shared" si="1"/>
        <v>0.28000000000000003</v>
      </c>
      <c r="H80" s="2" t="s">
        <v>73</v>
      </c>
      <c r="I80" s="2" t="s">
        <v>74</v>
      </c>
      <c r="J80" s="2" t="s">
        <v>84</v>
      </c>
    </row>
    <row r="81" spans="1:10" ht="25.5" x14ac:dyDescent="0.25">
      <c r="A81" s="2" t="s">
        <v>92</v>
      </c>
      <c r="B81" s="2" t="s">
        <v>49</v>
      </c>
      <c r="C81" s="2" t="s">
        <v>76</v>
      </c>
      <c r="D81" s="14">
        <v>0.28999999999999998</v>
      </c>
      <c r="E81" s="14">
        <v>0.27</v>
      </c>
      <c r="F81" s="14">
        <v>0.25</v>
      </c>
      <c r="G81" s="15">
        <f t="shared" si="1"/>
        <v>0.27</v>
      </c>
      <c r="H81" s="2" t="s">
        <v>73</v>
      </c>
      <c r="I81" s="2" t="s">
        <v>74</v>
      </c>
      <c r="J81" s="2" t="s">
        <v>84</v>
      </c>
    </row>
    <row r="82" spans="1:10" ht="25.5" x14ac:dyDescent="0.25">
      <c r="A82" s="2" t="s">
        <v>92</v>
      </c>
      <c r="B82" s="2" t="s">
        <v>49</v>
      </c>
      <c r="C82" s="2" t="s">
        <v>77</v>
      </c>
      <c r="D82" s="14">
        <v>0.28000000000000003</v>
      </c>
      <c r="E82" s="14">
        <v>0.26</v>
      </c>
      <c r="F82" s="14">
        <v>0.24</v>
      </c>
      <c r="G82" s="15">
        <f t="shared" si="1"/>
        <v>0.26</v>
      </c>
      <c r="H82" s="2" t="s">
        <v>73</v>
      </c>
      <c r="I82" s="2" t="s">
        <v>74</v>
      </c>
      <c r="J82" s="2" t="s">
        <v>84</v>
      </c>
    </row>
    <row r="83" spans="1:10" ht="25.5" x14ac:dyDescent="0.25">
      <c r="A83" s="2" t="s">
        <v>92</v>
      </c>
      <c r="B83" s="2" t="s">
        <v>49</v>
      </c>
      <c r="C83" s="2" t="s">
        <v>78</v>
      </c>
      <c r="D83" s="14">
        <v>0.27</v>
      </c>
      <c r="E83" s="14">
        <v>0.25</v>
      </c>
      <c r="F83" s="14">
        <v>0.24</v>
      </c>
      <c r="G83" s="15">
        <f t="shared" si="1"/>
        <v>0.25</v>
      </c>
      <c r="H83" s="2" t="s">
        <v>73</v>
      </c>
      <c r="I83" s="2" t="s">
        <v>74</v>
      </c>
      <c r="J83" s="2" t="s">
        <v>84</v>
      </c>
    </row>
    <row r="84" spans="1:10" ht="25.5" x14ac:dyDescent="0.25">
      <c r="A84" s="2" t="s">
        <v>92</v>
      </c>
      <c r="B84" s="2" t="s">
        <v>49</v>
      </c>
      <c r="C84" s="2" t="s">
        <v>79</v>
      </c>
      <c r="D84" s="14">
        <v>0.26</v>
      </c>
      <c r="E84" s="14">
        <v>0.25</v>
      </c>
      <c r="F84" s="14">
        <v>0.24</v>
      </c>
      <c r="G84" s="15">
        <f t="shared" ref="G84:G115" si="2">INDEX($D84:$F84,1,$B$4)</f>
        <v>0.25</v>
      </c>
      <c r="H84" s="2" t="s">
        <v>73</v>
      </c>
      <c r="I84" s="2" t="s">
        <v>74</v>
      </c>
      <c r="J84" s="2" t="s">
        <v>84</v>
      </c>
    </row>
    <row r="85" spans="1:10" ht="25.5" x14ac:dyDescent="0.25">
      <c r="A85" s="2" t="s">
        <v>93</v>
      </c>
      <c r="B85" s="2" t="s">
        <v>49</v>
      </c>
      <c r="C85" s="2" t="s">
        <v>72</v>
      </c>
      <c r="D85" s="14">
        <v>0.08</v>
      </c>
      <c r="E85" s="14">
        <v>0.1</v>
      </c>
      <c r="F85" s="14">
        <v>0.12</v>
      </c>
      <c r="G85" s="15">
        <f t="shared" si="2"/>
        <v>0.1</v>
      </c>
      <c r="H85" s="2" t="s">
        <v>73</v>
      </c>
      <c r="I85" s="2" t="s">
        <v>74</v>
      </c>
      <c r="J85" s="2" t="s">
        <v>84</v>
      </c>
    </row>
    <row r="86" spans="1:10" ht="25.5" x14ac:dyDescent="0.25">
      <c r="A86" s="2" t="s">
        <v>93</v>
      </c>
      <c r="B86" s="2" t="s">
        <v>49</v>
      </c>
      <c r="C86" s="2" t="s">
        <v>76</v>
      </c>
      <c r="D86" s="14">
        <v>7.0000000000000007E-2</v>
      </c>
      <c r="E86" s="14">
        <v>0.09</v>
      </c>
      <c r="F86" s="14">
        <v>0.11</v>
      </c>
      <c r="G86" s="15">
        <f t="shared" si="2"/>
        <v>0.09</v>
      </c>
      <c r="H86" s="2" t="s">
        <v>73</v>
      </c>
      <c r="I86" s="2" t="s">
        <v>74</v>
      </c>
      <c r="J86" s="2" t="s">
        <v>84</v>
      </c>
    </row>
    <row r="87" spans="1:10" ht="25.5" x14ac:dyDescent="0.25">
      <c r="A87" s="2" t="s">
        <v>93</v>
      </c>
      <c r="B87" s="2" t="s">
        <v>49</v>
      </c>
      <c r="C87" s="2" t="s">
        <v>77</v>
      </c>
      <c r="D87" s="14">
        <v>0.06</v>
      </c>
      <c r="E87" s="14">
        <v>0.08</v>
      </c>
      <c r="F87" s="14">
        <v>0.1</v>
      </c>
      <c r="G87" s="15">
        <f t="shared" si="2"/>
        <v>0.08</v>
      </c>
      <c r="H87" s="2" t="s">
        <v>73</v>
      </c>
      <c r="I87" s="2" t="s">
        <v>74</v>
      </c>
      <c r="J87" s="2" t="s">
        <v>84</v>
      </c>
    </row>
    <row r="88" spans="1:10" ht="25.5" x14ac:dyDescent="0.25">
      <c r="A88" s="2" t="s">
        <v>93</v>
      </c>
      <c r="B88" s="2" t="s">
        <v>49</v>
      </c>
      <c r="C88" s="2" t="s">
        <v>78</v>
      </c>
      <c r="D88" s="14">
        <v>0.05</v>
      </c>
      <c r="E88" s="14">
        <v>7.0000000000000007E-2</v>
      </c>
      <c r="F88" s="14">
        <v>0.09</v>
      </c>
      <c r="G88" s="15">
        <f t="shared" si="2"/>
        <v>7.0000000000000007E-2</v>
      </c>
      <c r="H88" s="2" t="s">
        <v>73</v>
      </c>
      <c r="I88" s="2" t="s">
        <v>74</v>
      </c>
      <c r="J88" s="2" t="s">
        <v>84</v>
      </c>
    </row>
    <row r="89" spans="1:10" ht="25.5" x14ac:dyDescent="0.25">
      <c r="A89" s="2" t="s">
        <v>93</v>
      </c>
      <c r="B89" s="2" t="s">
        <v>49</v>
      </c>
      <c r="C89" s="2" t="s">
        <v>79</v>
      </c>
      <c r="D89" s="14">
        <v>0.04</v>
      </c>
      <c r="E89" s="14">
        <v>0.06</v>
      </c>
      <c r="F89" s="14">
        <v>0.08</v>
      </c>
      <c r="G89" s="15">
        <f t="shared" si="2"/>
        <v>0.06</v>
      </c>
      <c r="H89" s="2" t="s">
        <v>73</v>
      </c>
      <c r="I89" s="2" t="s">
        <v>74</v>
      </c>
      <c r="J89" s="2" t="s">
        <v>84</v>
      </c>
    </row>
    <row r="90" spans="1:10" ht="25.5" x14ac:dyDescent="0.25">
      <c r="A90" s="2" t="s">
        <v>94</v>
      </c>
      <c r="B90" s="2" t="s">
        <v>49</v>
      </c>
      <c r="C90" s="2" t="s">
        <v>72</v>
      </c>
      <c r="D90" s="14">
        <v>0.13</v>
      </c>
      <c r="E90" s="14">
        <v>0.125</v>
      </c>
      <c r="F90" s="14">
        <v>0.122</v>
      </c>
      <c r="G90" s="15">
        <f t="shared" si="2"/>
        <v>0.125</v>
      </c>
      <c r="H90" s="2" t="s">
        <v>73</v>
      </c>
      <c r="I90" s="2" t="s">
        <v>74</v>
      </c>
      <c r="J90" s="2" t="s">
        <v>84</v>
      </c>
    </row>
    <row r="91" spans="1:10" ht="25.5" x14ac:dyDescent="0.25">
      <c r="A91" s="2" t="s">
        <v>94</v>
      </c>
      <c r="B91" s="2" t="s">
        <v>49</v>
      </c>
      <c r="C91" s="2" t="s">
        <v>76</v>
      </c>
      <c r="D91" s="14">
        <v>0.13</v>
      </c>
      <c r="E91" s="14">
        <v>0.122</v>
      </c>
      <c r="F91" s="14">
        <v>0.11799999999999999</v>
      </c>
      <c r="G91" s="15">
        <f t="shared" si="2"/>
        <v>0.122</v>
      </c>
      <c r="H91" s="2" t="s">
        <v>73</v>
      </c>
      <c r="I91" s="2" t="s">
        <v>74</v>
      </c>
      <c r="J91" s="2" t="s">
        <v>84</v>
      </c>
    </row>
    <row r="92" spans="1:10" ht="25.5" x14ac:dyDescent="0.25">
      <c r="A92" s="2" t="s">
        <v>94</v>
      </c>
      <c r="B92" s="2" t="s">
        <v>49</v>
      </c>
      <c r="C92" s="2" t="s">
        <v>77</v>
      </c>
      <c r="D92" s="14">
        <v>0.128</v>
      </c>
      <c r="E92" s="14">
        <v>0.12</v>
      </c>
      <c r="F92" s="14">
        <v>0.115</v>
      </c>
      <c r="G92" s="15">
        <f t="shared" si="2"/>
        <v>0.12</v>
      </c>
      <c r="H92" s="2" t="s">
        <v>73</v>
      </c>
      <c r="I92" s="2" t="s">
        <v>74</v>
      </c>
      <c r="J92" s="2" t="s">
        <v>84</v>
      </c>
    </row>
    <row r="93" spans="1:10" ht="25.5" x14ac:dyDescent="0.25">
      <c r="A93" s="2" t="s">
        <v>94</v>
      </c>
      <c r="B93" s="2" t="s">
        <v>49</v>
      </c>
      <c r="C93" s="2" t="s">
        <v>78</v>
      </c>
      <c r="D93" s="14">
        <v>0.125</v>
      </c>
      <c r="E93" s="14">
        <v>0.11799999999999999</v>
      </c>
      <c r="F93" s="14">
        <v>0.112</v>
      </c>
      <c r="G93" s="15">
        <f t="shared" si="2"/>
        <v>0.11799999999999999</v>
      </c>
      <c r="H93" s="2" t="s">
        <v>73</v>
      </c>
      <c r="I93" s="2" t="s">
        <v>74</v>
      </c>
      <c r="J93" s="2" t="s">
        <v>84</v>
      </c>
    </row>
    <row r="94" spans="1:10" ht="25.5" x14ac:dyDescent="0.25">
      <c r="A94" s="2" t="s">
        <v>94</v>
      </c>
      <c r="B94" s="2" t="s">
        <v>49</v>
      </c>
      <c r="C94" s="2" t="s">
        <v>79</v>
      </c>
      <c r="D94" s="14">
        <v>0.123</v>
      </c>
      <c r="E94" s="14">
        <v>0.115</v>
      </c>
      <c r="F94" s="14">
        <v>0.11</v>
      </c>
      <c r="G94" s="15">
        <f t="shared" si="2"/>
        <v>0.115</v>
      </c>
      <c r="H94" s="2" t="s">
        <v>73</v>
      </c>
      <c r="I94" s="2" t="s">
        <v>74</v>
      </c>
      <c r="J94" s="2" t="s">
        <v>84</v>
      </c>
    </row>
    <row r="95" spans="1:10" ht="25.5" x14ac:dyDescent="0.25">
      <c r="A95" s="2" t="s">
        <v>95</v>
      </c>
      <c r="B95" s="2" t="s">
        <v>49</v>
      </c>
      <c r="C95" s="2" t="s">
        <v>72</v>
      </c>
      <c r="D95" s="14">
        <v>0.158</v>
      </c>
      <c r="E95" s="14">
        <v>0.153</v>
      </c>
      <c r="F95" s="14">
        <v>0.15</v>
      </c>
      <c r="G95" s="15">
        <f t="shared" si="2"/>
        <v>0.153</v>
      </c>
      <c r="H95" s="2" t="s">
        <v>73</v>
      </c>
      <c r="I95" s="2" t="s">
        <v>74</v>
      </c>
      <c r="J95" s="2" t="s">
        <v>84</v>
      </c>
    </row>
    <row r="96" spans="1:10" ht="25.5" x14ac:dyDescent="0.25">
      <c r="A96" s="2" t="s">
        <v>95</v>
      </c>
      <c r="B96" s="2" t="s">
        <v>49</v>
      </c>
      <c r="C96" s="2" t="s">
        <v>76</v>
      </c>
      <c r="D96" s="14">
        <v>0.155</v>
      </c>
      <c r="E96" s="14">
        <v>0.15</v>
      </c>
      <c r="F96" s="14">
        <v>0.14699999999999999</v>
      </c>
      <c r="G96" s="15">
        <f t="shared" si="2"/>
        <v>0.15</v>
      </c>
      <c r="H96" s="2" t="s">
        <v>73</v>
      </c>
      <c r="I96" s="2" t="s">
        <v>74</v>
      </c>
      <c r="J96" s="2" t="s">
        <v>84</v>
      </c>
    </row>
    <row r="97" spans="1:10" ht="25.5" x14ac:dyDescent="0.25">
      <c r="A97" s="2" t="s">
        <v>95</v>
      </c>
      <c r="B97" s="2" t="s">
        <v>49</v>
      </c>
      <c r="C97" s="2" t="s">
        <v>77</v>
      </c>
      <c r="D97" s="14">
        <v>0.152</v>
      </c>
      <c r="E97" s="14">
        <v>0.14699999999999999</v>
      </c>
      <c r="F97" s="14">
        <v>0.14399999999999999</v>
      </c>
      <c r="G97" s="15">
        <f t="shared" si="2"/>
        <v>0.14699999999999999</v>
      </c>
      <c r="H97" s="2" t="s">
        <v>73</v>
      </c>
      <c r="I97" s="2" t="s">
        <v>74</v>
      </c>
      <c r="J97" s="2" t="s">
        <v>84</v>
      </c>
    </row>
    <row r="98" spans="1:10" ht="25.5" x14ac:dyDescent="0.25">
      <c r="A98" s="2" t="s">
        <v>95</v>
      </c>
      <c r="B98" s="2" t="s">
        <v>49</v>
      </c>
      <c r="C98" s="2" t="s">
        <v>78</v>
      </c>
      <c r="D98" s="14">
        <v>0.15</v>
      </c>
      <c r="E98" s="14">
        <v>0.14499999999999999</v>
      </c>
      <c r="F98" s="14">
        <v>0.14199999999999999</v>
      </c>
      <c r="G98" s="15">
        <f t="shared" si="2"/>
        <v>0.14499999999999999</v>
      </c>
      <c r="H98" s="2" t="s">
        <v>73</v>
      </c>
      <c r="I98" s="2" t="s">
        <v>74</v>
      </c>
      <c r="J98" s="2" t="s">
        <v>84</v>
      </c>
    </row>
    <row r="99" spans="1:10" ht="25.5" x14ac:dyDescent="0.25">
      <c r="A99" s="2" t="s">
        <v>95</v>
      </c>
      <c r="B99" s="2" t="s">
        <v>49</v>
      </c>
      <c r="C99" s="2" t="s">
        <v>79</v>
      </c>
      <c r="D99" s="14">
        <v>0.14799999999999999</v>
      </c>
      <c r="E99" s="14">
        <v>0.14299999999999999</v>
      </c>
      <c r="F99" s="14">
        <v>0.14000000000000001</v>
      </c>
      <c r="G99" s="15">
        <f t="shared" si="2"/>
        <v>0.14299999999999999</v>
      </c>
      <c r="H99" s="2" t="s">
        <v>73</v>
      </c>
      <c r="I99" s="2" t="s">
        <v>74</v>
      </c>
      <c r="J99" s="2" t="s">
        <v>84</v>
      </c>
    </row>
    <row r="100" spans="1:10" ht="25.5" x14ac:dyDescent="0.25">
      <c r="A100" s="2" t="s">
        <v>96</v>
      </c>
      <c r="B100" s="2" t="s">
        <v>49</v>
      </c>
      <c r="C100" s="2" t="s">
        <v>72</v>
      </c>
      <c r="D100" s="14">
        <v>2.5000000000000001E-2</v>
      </c>
      <c r="E100" s="14">
        <v>2.3E-2</v>
      </c>
      <c r="F100" s="14">
        <v>2.1999999999999999E-2</v>
      </c>
      <c r="G100" s="15">
        <f t="shared" si="2"/>
        <v>2.3E-2</v>
      </c>
      <c r="H100" s="2" t="s">
        <v>73</v>
      </c>
      <c r="I100" s="2" t="s">
        <v>74</v>
      </c>
      <c r="J100" s="2" t="s">
        <v>84</v>
      </c>
    </row>
    <row r="101" spans="1:10" ht="25.5" x14ac:dyDescent="0.25">
      <c r="A101" s="2" t="s">
        <v>96</v>
      </c>
      <c r="B101" s="2" t="s">
        <v>49</v>
      </c>
      <c r="C101" s="2" t="s">
        <v>76</v>
      </c>
      <c r="D101" s="14">
        <v>2.4E-2</v>
      </c>
      <c r="E101" s="14">
        <v>2.1999999999999999E-2</v>
      </c>
      <c r="F101" s="14">
        <v>2.1000000000000001E-2</v>
      </c>
      <c r="G101" s="15">
        <f t="shared" si="2"/>
        <v>2.1999999999999999E-2</v>
      </c>
      <c r="H101" s="2" t="s">
        <v>73</v>
      </c>
      <c r="I101" s="2" t="s">
        <v>74</v>
      </c>
      <c r="J101" s="2" t="s">
        <v>84</v>
      </c>
    </row>
    <row r="102" spans="1:10" ht="25.5" x14ac:dyDescent="0.25">
      <c r="A102" s="2" t="s">
        <v>96</v>
      </c>
      <c r="B102" s="2" t="s">
        <v>49</v>
      </c>
      <c r="C102" s="2" t="s">
        <v>77</v>
      </c>
      <c r="D102" s="14">
        <v>2.3E-2</v>
      </c>
      <c r="E102" s="14">
        <v>2.1000000000000001E-2</v>
      </c>
      <c r="F102" s="14">
        <v>0.02</v>
      </c>
      <c r="G102" s="15">
        <f t="shared" si="2"/>
        <v>2.1000000000000001E-2</v>
      </c>
      <c r="H102" s="2" t="s">
        <v>73</v>
      </c>
      <c r="I102" s="2" t="s">
        <v>74</v>
      </c>
      <c r="J102" s="2" t="s">
        <v>84</v>
      </c>
    </row>
    <row r="103" spans="1:10" ht="25.5" x14ac:dyDescent="0.25">
      <c r="A103" s="2" t="s">
        <v>96</v>
      </c>
      <c r="B103" s="2" t="s">
        <v>49</v>
      </c>
      <c r="C103" s="2" t="s">
        <v>78</v>
      </c>
      <c r="D103" s="14">
        <v>2.1999999999999999E-2</v>
      </c>
      <c r="E103" s="14">
        <v>0.02</v>
      </c>
      <c r="F103" s="14">
        <v>1.9E-2</v>
      </c>
      <c r="G103" s="15">
        <f t="shared" si="2"/>
        <v>0.02</v>
      </c>
      <c r="H103" s="2" t="s">
        <v>73</v>
      </c>
      <c r="I103" s="2" t="s">
        <v>74</v>
      </c>
      <c r="J103" s="2" t="s">
        <v>84</v>
      </c>
    </row>
    <row r="104" spans="1:10" ht="25.5" x14ac:dyDescent="0.25">
      <c r="A104" s="2" t="s">
        <v>96</v>
      </c>
      <c r="B104" s="2" t="s">
        <v>49</v>
      </c>
      <c r="C104" s="2" t="s">
        <v>79</v>
      </c>
      <c r="D104" s="14">
        <v>2.1999999999999999E-2</v>
      </c>
      <c r="E104" s="14">
        <v>0.02</v>
      </c>
      <c r="F104" s="14">
        <v>1.9E-2</v>
      </c>
      <c r="G104" s="15">
        <f t="shared" si="2"/>
        <v>0.02</v>
      </c>
      <c r="H104" s="2" t="s">
        <v>73</v>
      </c>
      <c r="I104" s="2" t="s">
        <v>74</v>
      </c>
      <c r="J104" s="2" t="s">
        <v>84</v>
      </c>
    </row>
    <row r="105" spans="1:10" ht="25.5" x14ac:dyDescent="0.25">
      <c r="A105" s="2" t="s">
        <v>97</v>
      </c>
      <c r="B105" s="2" t="s">
        <v>49</v>
      </c>
      <c r="C105" s="2" t="s">
        <v>72</v>
      </c>
      <c r="D105" s="14">
        <v>0.108</v>
      </c>
      <c r="E105" s="14">
        <v>0.112</v>
      </c>
      <c r="F105" s="14">
        <v>0.115</v>
      </c>
      <c r="G105" s="15">
        <f t="shared" si="2"/>
        <v>0.112</v>
      </c>
      <c r="H105" s="2" t="s">
        <v>73</v>
      </c>
      <c r="I105" s="2" t="s">
        <v>74</v>
      </c>
      <c r="J105" s="2" t="s">
        <v>84</v>
      </c>
    </row>
    <row r="106" spans="1:10" ht="25.5" x14ac:dyDescent="0.25">
      <c r="A106" s="2" t="s">
        <v>97</v>
      </c>
      <c r="B106" s="2" t="s">
        <v>49</v>
      </c>
      <c r="C106" s="2" t="s">
        <v>76</v>
      </c>
      <c r="D106" s="14">
        <v>0.107</v>
      </c>
      <c r="E106" s="14">
        <v>0.111</v>
      </c>
      <c r="F106" s="14">
        <v>0.114</v>
      </c>
      <c r="G106" s="15">
        <f t="shared" si="2"/>
        <v>0.111</v>
      </c>
      <c r="H106" s="2" t="s">
        <v>73</v>
      </c>
      <c r="I106" s="2" t="s">
        <v>74</v>
      </c>
      <c r="J106" s="2" t="s">
        <v>84</v>
      </c>
    </row>
    <row r="107" spans="1:10" ht="25.5" x14ac:dyDescent="0.25">
      <c r="A107" s="2" t="s">
        <v>97</v>
      </c>
      <c r="B107" s="2" t="s">
        <v>49</v>
      </c>
      <c r="C107" s="2" t="s">
        <v>77</v>
      </c>
      <c r="D107" s="14">
        <v>0.106</v>
      </c>
      <c r="E107" s="14">
        <v>0.11</v>
      </c>
      <c r="F107" s="14">
        <v>0.113</v>
      </c>
      <c r="G107" s="15">
        <f t="shared" si="2"/>
        <v>0.11</v>
      </c>
      <c r="H107" s="2" t="s">
        <v>73</v>
      </c>
      <c r="I107" s="2" t="s">
        <v>74</v>
      </c>
      <c r="J107" s="2" t="s">
        <v>84</v>
      </c>
    </row>
    <row r="108" spans="1:10" ht="25.5" x14ac:dyDescent="0.25">
      <c r="A108" s="2" t="s">
        <v>97</v>
      </c>
      <c r="B108" s="2" t="s">
        <v>49</v>
      </c>
      <c r="C108" s="2" t="s">
        <v>78</v>
      </c>
      <c r="D108" s="14">
        <v>0.105</v>
      </c>
      <c r="E108" s="14">
        <v>0.109</v>
      </c>
      <c r="F108" s="14">
        <v>0.112</v>
      </c>
      <c r="G108" s="15">
        <f t="shared" si="2"/>
        <v>0.109</v>
      </c>
      <c r="H108" s="2" t="s">
        <v>73</v>
      </c>
      <c r="I108" s="2" t="s">
        <v>74</v>
      </c>
      <c r="J108" s="2" t="s">
        <v>84</v>
      </c>
    </row>
    <row r="109" spans="1:10" ht="25.5" x14ac:dyDescent="0.25">
      <c r="A109" s="2" t="s">
        <v>97</v>
      </c>
      <c r="B109" s="2" t="s">
        <v>49</v>
      </c>
      <c r="C109" s="2" t="s">
        <v>79</v>
      </c>
      <c r="D109" s="14">
        <v>0.104</v>
      </c>
      <c r="E109" s="14">
        <v>0.108</v>
      </c>
      <c r="F109" s="14">
        <v>0.111</v>
      </c>
      <c r="G109" s="15">
        <f t="shared" si="2"/>
        <v>0.108</v>
      </c>
      <c r="H109" s="2" t="s">
        <v>73</v>
      </c>
      <c r="I109" s="2" t="s">
        <v>74</v>
      </c>
      <c r="J109" s="2" t="s">
        <v>84</v>
      </c>
    </row>
    <row r="110" spans="1:10" ht="25.5" x14ac:dyDescent="0.25">
      <c r="A110" s="2" t="s">
        <v>98</v>
      </c>
      <c r="B110" s="2" t="s">
        <v>49</v>
      </c>
      <c r="C110" s="2" t="s">
        <v>72</v>
      </c>
      <c r="D110" s="14">
        <v>0.15</v>
      </c>
      <c r="E110" s="14">
        <v>0.14599999999999999</v>
      </c>
      <c r="F110" s="14">
        <v>0.14299999999999999</v>
      </c>
      <c r="G110" s="15">
        <f t="shared" si="2"/>
        <v>0.14599999999999999</v>
      </c>
      <c r="H110" s="2" t="s">
        <v>73</v>
      </c>
      <c r="I110" s="2" t="s">
        <v>74</v>
      </c>
      <c r="J110" s="2" t="s">
        <v>84</v>
      </c>
    </row>
    <row r="111" spans="1:10" ht="25.5" x14ac:dyDescent="0.25">
      <c r="A111" s="2" t="s">
        <v>98</v>
      </c>
      <c r="B111" s="2" t="s">
        <v>49</v>
      </c>
      <c r="C111" s="2" t="s">
        <v>76</v>
      </c>
      <c r="D111" s="14">
        <v>0.14799999999999999</v>
      </c>
      <c r="E111" s="14">
        <v>0.14299999999999999</v>
      </c>
      <c r="F111" s="14">
        <v>0.14000000000000001</v>
      </c>
      <c r="G111" s="15">
        <f t="shared" si="2"/>
        <v>0.14299999999999999</v>
      </c>
      <c r="H111" s="2" t="s">
        <v>73</v>
      </c>
      <c r="I111" s="2" t="s">
        <v>74</v>
      </c>
      <c r="J111" s="2" t="s">
        <v>84</v>
      </c>
    </row>
    <row r="112" spans="1:10" ht="25.5" x14ac:dyDescent="0.25">
      <c r="A112" s="2" t="s">
        <v>98</v>
      </c>
      <c r="B112" s="2" t="s">
        <v>49</v>
      </c>
      <c r="C112" s="2" t="s">
        <v>77</v>
      </c>
      <c r="D112" s="14">
        <v>0.14599999999999999</v>
      </c>
      <c r="E112" s="14">
        <v>0.14000000000000001</v>
      </c>
      <c r="F112" s="14">
        <v>0.13700000000000001</v>
      </c>
      <c r="G112" s="15">
        <f t="shared" si="2"/>
        <v>0.14000000000000001</v>
      </c>
      <c r="H112" s="2" t="s">
        <v>73</v>
      </c>
      <c r="I112" s="2" t="s">
        <v>74</v>
      </c>
      <c r="J112" s="2" t="s">
        <v>84</v>
      </c>
    </row>
    <row r="113" spans="1:10" ht="25.5" x14ac:dyDescent="0.25">
      <c r="A113" s="2" t="s">
        <v>98</v>
      </c>
      <c r="B113" s="2" t="s">
        <v>49</v>
      </c>
      <c r="C113" s="2" t="s">
        <v>78</v>
      </c>
      <c r="D113" s="14">
        <v>0.14399999999999999</v>
      </c>
      <c r="E113" s="14">
        <v>0.13800000000000001</v>
      </c>
      <c r="F113" s="14">
        <v>0.13500000000000001</v>
      </c>
      <c r="G113" s="15">
        <f t="shared" si="2"/>
        <v>0.13800000000000001</v>
      </c>
      <c r="H113" s="2" t="s">
        <v>73</v>
      </c>
      <c r="I113" s="2" t="s">
        <v>74</v>
      </c>
      <c r="J113" s="2" t="s">
        <v>84</v>
      </c>
    </row>
    <row r="114" spans="1:10" ht="25.5" x14ac:dyDescent="0.25">
      <c r="A114" s="2" t="s">
        <v>98</v>
      </c>
      <c r="B114" s="2" t="s">
        <v>49</v>
      </c>
      <c r="C114" s="2" t="s">
        <v>79</v>
      </c>
      <c r="D114" s="14">
        <v>0.14199999999999999</v>
      </c>
      <c r="E114" s="14">
        <v>0.13500000000000001</v>
      </c>
      <c r="F114" s="14">
        <v>0.13200000000000001</v>
      </c>
      <c r="G114" s="15">
        <f t="shared" si="2"/>
        <v>0.13500000000000001</v>
      </c>
      <c r="H114" s="2" t="s">
        <v>73</v>
      </c>
      <c r="I114" s="2" t="s">
        <v>74</v>
      </c>
      <c r="J114" s="2" t="s">
        <v>84</v>
      </c>
    </row>
    <row r="115" spans="1:10" ht="25.5" x14ac:dyDescent="0.25">
      <c r="A115" s="2" t="s">
        <v>99</v>
      </c>
      <c r="B115" s="2" t="s">
        <v>49</v>
      </c>
      <c r="C115" s="2" t="s">
        <v>72</v>
      </c>
      <c r="D115" s="14">
        <v>8.0000000000000002E-3</v>
      </c>
      <c r="E115" s="14">
        <v>7.0000000000000001E-3</v>
      </c>
      <c r="F115" s="14">
        <v>6.0000000000000001E-3</v>
      </c>
      <c r="G115" s="15">
        <f t="shared" si="2"/>
        <v>7.0000000000000001E-3</v>
      </c>
      <c r="H115" s="2" t="s">
        <v>73</v>
      </c>
      <c r="I115" s="2" t="s">
        <v>74</v>
      </c>
      <c r="J115" s="2" t="s">
        <v>84</v>
      </c>
    </row>
    <row r="116" spans="1:10" ht="25.5" x14ac:dyDescent="0.25">
      <c r="A116" s="2" t="s">
        <v>99</v>
      </c>
      <c r="B116" s="2" t="s">
        <v>49</v>
      </c>
      <c r="C116" s="2" t="s">
        <v>76</v>
      </c>
      <c r="D116" s="14">
        <v>8.0000000000000002E-3</v>
      </c>
      <c r="E116" s="14">
        <v>7.0000000000000001E-3</v>
      </c>
      <c r="F116" s="14">
        <v>6.0000000000000001E-3</v>
      </c>
      <c r="G116" s="15">
        <f t="shared" ref="G116:G147" si="3">INDEX($D116:$F116,1,$B$4)</f>
        <v>7.0000000000000001E-3</v>
      </c>
      <c r="H116" s="2" t="s">
        <v>73</v>
      </c>
      <c r="I116" s="2" t="s">
        <v>74</v>
      </c>
      <c r="J116" s="2" t="s">
        <v>84</v>
      </c>
    </row>
    <row r="117" spans="1:10" ht="25.5" x14ac:dyDescent="0.25">
      <c r="A117" s="2" t="s">
        <v>99</v>
      </c>
      <c r="B117" s="2" t="s">
        <v>49</v>
      </c>
      <c r="C117" s="2" t="s">
        <v>77</v>
      </c>
      <c r="D117" s="14">
        <v>8.0000000000000002E-3</v>
      </c>
      <c r="E117" s="14">
        <v>7.0000000000000001E-3</v>
      </c>
      <c r="F117" s="14">
        <v>6.0000000000000001E-3</v>
      </c>
      <c r="G117" s="15">
        <f t="shared" si="3"/>
        <v>7.0000000000000001E-3</v>
      </c>
      <c r="H117" s="2" t="s">
        <v>73</v>
      </c>
      <c r="I117" s="2" t="s">
        <v>74</v>
      </c>
      <c r="J117" s="2" t="s">
        <v>84</v>
      </c>
    </row>
    <row r="118" spans="1:10" ht="25.5" x14ac:dyDescent="0.25">
      <c r="A118" s="2" t="s">
        <v>99</v>
      </c>
      <c r="B118" s="2" t="s">
        <v>49</v>
      </c>
      <c r="C118" s="2" t="s">
        <v>78</v>
      </c>
      <c r="D118" s="14">
        <v>8.0000000000000002E-3</v>
      </c>
      <c r="E118" s="14">
        <v>7.0000000000000001E-3</v>
      </c>
      <c r="F118" s="14">
        <v>6.0000000000000001E-3</v>
      </c>
      <c r="G118" s="15">
        <f t="shared" si="3"/>
        <v>7.0000000000000001E-3</v>
      </c>
      <c r="H118" s="2" t="s">
        <v>73</v>
      </c>
      <c r="I118" s="2" t="s">
        <v>74</v>
      </c>
      <c r="J118" s="2" t="s">
        <v>84</v>
      </c>
    </row>
    <row r="119" spans="1:10" ht="25.5" x14ac:dyDescent="0.25">
      <c r="A119" s="2" t="s">
        <v>99</v>
      </c>
      <c r="B119" s="2" t="s">
        <v>49</v>
      </c>
      <c r="C119" s="2" t="s">
        <v>79</v>
      </c>
      <c r="D119" s="14">
        <v>8.0000000000000002E-3</v>
      </c>
      <c r="E119" s="14">
        <v>7.0000000000000001E-3</v>
      </c>
      <c r="F119" s="14">
        <v>6.0000000000000001E-3</v>
      </c>
      <c r="G119" s="15">
        <f t="shared" si="3"/>
        <v>7.0000000000000001E-3</v>
      </c>
      <c r="H119" s="2" t="s">
        <v>73</v>
      </c>
      <c r="I119" s="2" t="s">
        <v>74</v>
      </c>
      <c r="J119" s="2" t="s">
        <v>84</v>
      </c>
    </row>
    <row r="120" spans="1:10" ht="25.5" x14ac:dyDescent="0.25">
      <c r="A120" s="2" t="s">
        <v>100</v>
      </c>
      <c r="B120" s="2" t="s">
        <v>49</v>
      </c>
      <c r="C120" s="2" t="s">
        <v>72</v>
      </c>
      <c r="D120" s="14">
        <v>5.1999999999999998E-2</v>
      </c>
      <c r="E120" s="14">
        <v>5.8000000000000003E-2</v>
      </c>
      <c r="F120" s="14">
        <v>6.5000000000000002E-2</v>
      </c>
      <c r="G120" s="15">
        <f t="shared" si="3"/>
        <v>5.8000000000000003E-2</v>
      </c>
      <c r="H120" s="2" t="s">
        <v>73</v>
      </c>
      <c r="I120" s="2" t="s">
        <v>74</v>
      </c>
      <c r="J120" s="2" t="s">
        <v>84</v>
      </c>
    </row>
    <row r="121" spans="1:10" ht="25.5" x14ac:dyDescent="0.25">
      <c r="A121" s="2" t="s">
        <v>100</v>
      </c>
      <c r="B121" s="2" t="s">
        <v>49</v>
      </c>
      <c r="C121" s="2" t="s">
        <v>76</v>
      </c>
      <c r="D121" s="14">
        <v>0.05</v>
      </c>
      <c r="E121" s="14">
        <v>5.5E-2</v>
      </c>
      <c r="F121" s="14">
        <v>0.06</v>
      </c>
      <c r="G121" s="15">
        <f t="shared" si="3"/>
        <v>5.5E-2</v>
      </c>
      <c r="H121" s="2" t="s">
        <v>73</v>
      </c>
      <c r="I121" s="2" t="s">
        <v>74</v>
      </c>
      <c r="J121" s="2" t="s">
        <v>84</v>
      </c>
    </row>
    <row r="122" spans="1:10" ht="25.5" x14ac:dyDescent="0.25">
      <c r="A122" s="2" t="s">
        <v>100</v>
      </c>
      <c r="B122" s="2" t="s">
        <v>49</v>
      </c>
      <c r="C122" s="2" t="s">
        <v>77</v>
      </c>
      <c r="D122" s="14">
        <v>4.8000000000000001E-2</v>
      </c>
      <c r="E122" s="14">
        <v>5.1999999999999998E-2</v>
      </c>
      <c r="F122" s="14">
        <v>5.6000000000000001E-2</v>
      </c>
      <c r="G122" s="15">
        <f t="shared" si="3"/>
        <v>5.1999999999999998E-2</v>
      </c>
      <c r="H122" s="2" t="s">
        <v>73</v>
      </c>
      <c r="I122" s="2" t="s">
        <v>74</v>
      </c>
      <c r="J122" s="2" t="s">
        <v>84</v>
      </c>
    </row>
    <row r="123" spans="1:10" ht="25.5" x14ac:dyDescent="0.25">
      <c r="A123" s="2" t="s">
        <v>100</v>
      </c>
      <c r="B123" s="2" t="s">
        <v>49</v>
      </c>
      <c r="C123" s="2" t="s">
        <v>78</v>
      </c>
      <c r="D123" s="14">
        <v>4.5999999999999999E-2</v>
      </c>
      <c r="E123" s="14">
        <v>0.05</v>
      </c>
      <c r="F123" s="14">
        <v>5.2999999999999999E-2</v>
      </c>
      <c r="G123" s="15">
        <f t="shared" si="3"/>
        <v>0.05</v>
      </c>
      <c r="H123" s="2" t="s">
        <v>73</v>
      </c>
      <c r="I123" s="2" t="s">
        <v>74</v>
      </c>
      <c r="J123" s="2" t="s">
        <v>84</v>
      </c>
    </row>
    <row r="124" spans="1:10" ht="25.5" x14ac:dyDescent="0.25">
      <c r="A124" s="2" t="s">
        <v>100</v>
      </c>
      <c r="B124" s="2" t="s">
        <v>49</v>
      </c>
      <c r="C124" s="2" t="s">
        <v>79</v>
      </c>
      <c r="D124" s="14">
        <v>4.4999999999999998E-2</v>
      </c>
      <c r="E124" s="14">
        <v>4.8000000000000001E-2</v>
      </c>
      <c r="F124" s="14">
        <v>0.05</v>
      </c>
      <c r="G124" s="15">
        <f t="shared" si="3"/>
        <v>4.8000000000000001E-2</v>
      </c>
      <c r="H124" s="2" t="s">
        <v>73</v>
      </c>
      <c r="I124" s="2" t="s">
        <v>74</v>
      </c>
      <c r="J124" s="2" t="s">
        <v>84</v>
      </c>
    </row>
    <row r="125" spans="1:10" x14ac:dyDescent="0.25">
      <c r="A125" s="2" t="s">
        <v>101</v>
      </c>
      <c r="B125" s="2" t="s">
        <v>49</v>
      </c>
      <c r="C125" s="2" t="s">
        <v>72</v>
      </c>
      <c r="D125" s="14">
        <v>0</v>
      </c>
      <c r="E125" s="14">
        <v>0</v>
      </c>
      <c r="F125" s="14">
        <v>0</v>
      </c>
      <c r="G125" s="15">
        <f t="shared" si="3"/>
        <v>0</v>
      </c>
      <c r="H125" s="2" t="s">
        <v>73</v>
      </c>
      <c r="I125" s="2" t="s">
        <v>74</v>
      </c>
      <c r="J125" s="2" t="s">
        <v>102</v>
      </c>
    </row>
    <row r="126" spans="1:10" x14ac:dyDescent="0.25">
      <c r="A126" s="2" t="s">
        <v>101</v>
      </c>
      <c r="B126" s="2" t="s">
        <v>49</v>
      </c>
      <c r="C126" s="2" t="s">
        <v>76</v>
      </c>
      <c r="D126" s="14">
        <v>0</v>
      </c>
      <c r="E126" s="14">
        <v>0</v>
      </c>
      <c r="F126" s="14">
        <v>0</v>
      </c>
      <c r="G126" s="15">
        <f t="shared" si="3"/>
        <v>0</v>
      </c>
      <c r="H126" s="2" t="s">
        <v>73</v>
      </c>
      <c r="I126" s="2" t="s">
        <v>74</v>
      </c>
      <c r="J126" s="2" t="s">
        <v>102</v>
      </c>
    </row>
    <row r="127" spans="1:10" x14ac:dyDescent="0.25">
      <c r="A127" s="2" t="s">
        <v>101</v>
      </c>
      <c r="B127" s="2" t="s">
        <v>49</v>
      </c>
      <c r="C127" s="2" t="s">
        <v>77</v>
      </c>
      <c r="D127" s="14">
        <v>0</v>
      </c>
      <c r="E127" s="14">
        <v>0</v>
      </c>
      <c r="F127" s="14">
        <v>0</v>
      </c>
      <c r="G127" s="15">
        <f t="shared" si="3"/>
        <v>0</v>
      </c>
      <c r="H127" s="2" t="s">
        <v>73</v>
      </c>
      <c r="I127" s="2" t="s">
        <v>74</v>
      </c>
      <c r="J127" s="2" t="s">
        <v>102</v>
      </c>
    </row>
    <row r="128" spans="1:10" x14ac:dyDescent="0.25">
      <c r="A128" s="2" t="s">
        <v>101</v>
      </c>
      <c r="B128" s="2" t="s">
        <v>49</v>
      </c>
      <c r="C128" s="2" t="s">
        <v>78</v>
      </c>
      <c r="D128" s="14">
        <v>0</v>
      </c>
      <c r="E128" s="14">
        <v>0</v>
      </c>
      <c r="F128" s="14">
        <v>0</v>
      </c>
      <c r="G128" s="15">
        <f t="shared" si="3"/>
        <v>0</v>
      </c>
      <c r="H128" s="2" t="s">
        <v>73</v>
      </c>
      <c r="I128" s="2" t="s">
        <v>74</v>
      </c>
      <c r="J128" s="2" t="s">
        <v>102</v>
      </c>
    </row>
    <row r="129" spans="1:10" x14ac:dyDescent="0.25">
      <c r="A129" s="2" t="s">
        <v>101</v>
      </c>
      <c r="B129" s="2" t="s">
        <v>49</v>
      </c>
      <c r="C129" s="2" t="s">
        <v>79</v>
      </c>
      <c r="D129" s="14">
        <v>0</v>
      </c>
      <c r="E129" s="14">
        <v>0</v>
      </c>
      <c r="F129" s="14">
        <v>0</v>
      </c>
      <c r="G129" s="15">
        <f t="shared" si="3"/>
        <v>0</v>
      </c>
      <c r="H129" s="2" t="s">
        <v>73</v>
      </c>
      <c r="I129" s="2" t="s">
        <v>74</v>
      </c>
      <c r="J129" s="2" t="s">
        <v>102</v>
      </c>
    </row>
    <row r="130" spans="1:10" x14ac:dyDescent="0.25">
      <c r="A130" s="2" t="s">
        <v>103</v>
      </c>
      <c r="B130" s="2" t="s">
        <v>104</v>
      </c>
      <c r="C130" s="2" t="s">
        <v>72</v>
      </c>
      <c r="D130" s="16">
        <v>0.5</v>
      </c>
      <c r="E130" s="16">
        <v>0.5</v>
      </c>
      <c r="F130" s="16">
        <v>0.5</v>
      </c>
      <c r="G130" s="17">
        <f t="shared" si="3"/>
        <v>0.5</v>
      </c>
      <c r="H130" s="2" t="s">
        <v>73</v>
      </c>
      <c r="I130" s="2" t="s">
        <v>74</v>
      </c>
      <c r="J130" s="2" t="s">
        <v>105</v>
      </c>
    </row>
    <row r="131" spans="1:10" x14ac:dyDescent="0.25">
      <c r="A131" s="2" t="s">
        <v>103</v>
      </c>
      <c r="B131" s="2" t="s">
        <v>104</v>
      </c>
      <c r="C131" s="2" t="s">
        <v>76</v>
      </c>
      <c r="D131" s="16">
        <v>1.5</v>
      </c>
      <c r="E131" s="16">
        <v>1.5</v>
      </c>
      <c r="F131" s="16">
        <v>1.5</v>
      </c>
      <c r="G131" s="17">
        <f t="shared" si="3"/>
        <v>1.5</v>
      </c>
      <c r="H131" s="2" t="s">
        <v>73</v>
      </c>
      <c r="I131" s="2" t="s">
        <v>74</v>
      </c>
      <c r="J131" s="2" t="s">
        <v>105</v>
      </c>
    </row>
    <row r="132" spans="1:10" x14ac:dyDescent="0.25">
      <c r="A132" s="2" t="s">
        <v>103</v>
      </c>
      <c r="B132" s="2" t="s">
        <v>104</v>
      </c>
      <c r="C132" s="2" t="s">
        <v>77</v>
      </c>
      <c r="D132" s="16">
        <v>2.5</v>
      </c>
      <c r="E132" s="16">
        <v>2.5</v>
      </c>
      <c r="F132" s="16">
        <v>2.5</v>
      </c>
      <c r="G132" s="17">
        <f t="shared" si="3"/>
        <v>2.5</v>
      </c>
      <c r="H132" s="2" t="s">
        <v>73</v>
      </c>
      <c r="I132" s="2" t="s">
        <v>74</v>
      </c>
      <c r="J132" s="2" t="s">
        <v>105</v>
      </c>
    </row>
    <row r="133" spans="1:10" x14ac:dyDescent="0.25">
      <c r="A133" s="2" t="s">
        <v>103</v>
      </c>
      <c r="B133" s="2" t="s">
        <v>104</v>
      </c>
      <c r="C133" s="2" t="s">
        <v>78</v>
      </c>
      <c r="D133" s="16">
        <v>3.5</v>
      </c>
      <c r="E133" s="16">
        <v>3.5</v>
      </c>
      <c r="F133" s="16">
        <v>3.5</v>
      </c>
      <c r="G133" s="17">
        <f t="shared" si="3"/>
        <v>3.5</v>
      </c>
      <c r="H133" s="2" t="s">
        <v>73</v>
      </c>
      <c r="I133" s="2" t="s">
        <v>74</v>
      </c>
      <c r="J133" s="2" t="s">
        <v>105</v>
      </c>
    </row>
    <row r="134" spans="1:10" x14ac:dyDescent="0.25">
      <c r="A134" s="2" t="s">
        <v>103</v>
      </c>
      <c r="B134" s="2" t="s">
        <v>104</v>
      </c>
      <c r="C134" s="2" t="s">
        <v>79</v>
      </c>
      <c r="D134" s="16">
        <v>4.5</v>
      </c>
      <c r="E134" s="16">
        <v>4.5</v>
      </c>
      <c r="F134" s="16">
        <v>4.5</v>
      </c>
      <c r="G134" s="17">
        <f t="shared" si="3"/>
        <v>4.5</v>
      </c>
      <c r="H134" s="2" t="s">
        <v>73</v>
      </c>
      <c r="I134" s="2" t="s">
        <v>74</v>
      </c>
      <c r="J134" s="2" t="s">
        <v>105</v>
      </c>
    </row>
    <row r="135" spans="1:10" x14ac:dyDescent="0.25">
      <c r="A135" s="2" t="s">
        <v>106</v>
      </c>
      <c r="B135" s="2" t="s">
        <v>49</v>
      </c>
      <c r="C135" s="2" t="s">
        <v>107</v>
      </c>
      <c r="D135" s="14">
        <v>0.02</v>
      </c>
      <c r="E135" s="14">
        <v>2.5000000000000001E-2</v>
      </c>
      <c r="F135" s="14">
        <v>0.03</v>
      </c>
      <c r="G135" s="15">
        <f t="shared" si="3"/>
        <v>2.5000000000000001E-2</v>
      </c>
      <c r="H135" s="2" t="s">
        <v>73</v>
      </c>
      <c r="I135" s="2" t="s">
        <v>74</v>
      </c>
      <c r="J135" s="2" t="s">
        <v>108</v>
      </c>
    </row>
    <row r="136" spans="1:10" x14ac:dyDescent="0.25">
      <c r="A136" s="2" t="s">
        <v>109</v>
      </c>
      <c r="B136" s="2" t="s">
        <v>49</v>
      </c>
      <c r="C136" s="2" t="s">
        <v>107</v>
      </c>
      <c r="D136" s="14">
        <v>4.2999999999999997E-2</v>
      </c>
      <c r="E136" s="14">
        <v>4.2999999999999997E-2</v>
      </c>
      <c r="F136" s="14">
        <v>4.2999999999999997E-2</v>
      </c>
      <c r="G136" s="15">
        <f t="shared" si="3"/>
        <v>4.2999999999999997E-2</v>
      </c>
      <c r="H136" s="2" t="s">
        <v>73</v>
      </c>
      <c r="I136" s="2" t="s">
        <v>74</v>
      </c>
      <c r="J136" s="2" t="s">
        <v>110</v>
      </c>
    </row>
    <row r="137" spans="1:10" x14ac:dyDescent="0.25">
      <c r="A137" s="2" t="s">
        <v>111</v>
      </c>
      <c r="B137" s="2" t="s">
        <v>112</v>
      </c>
      <c r="C137" s="2" t="s">
        <v>107</v>
      </c>
      <c r="D137" s="18">
        <v>1.2</v>
      </c>
      <c r="E137" s="18">
        <v>1.05</v>
      </c>
      <c r="F137" s="18">
        <v>0.95</v>
      </c>
      <c r="G137" s="19">
        <f t="shared" si="3"/>
        <v>1.05</v>
      </c>
      <c r="H137" s="2" t="s">
        <v>73</v>
      </c>
      <c r="I137" s="2" t="s">
        <v>74</v>
      </c>
      <c r="J137" s="2" t="s">
        <v>113</v>
      </c>
    </row>
    <row r="138" spans="1:10" x14ac:dyDescent="0.25">
      <c r="A138" s="2" t="s">
        <v>114</v>
      </c>
      <c r="B138" s="2" t="s">
        <v>49</v>
      </c>
      <c r="C138" s="2" t="s">
        <v>107</v>
      </c>
      <c r="D138" s="14">
        <v>5.5E-2</v>
      </c>
      <c r="E138" s="14">
        <v>5.5E-2</v>
      </c>
      <c r="F138" s="14">
        <v>5.5E-2</v>
      </c>
      <c r="G138" s="15">
        <f t="shared" si="3"/>
        <v>5.5E-2</v>
      </c>
      <c r="H138" s="2" t="s">
        <v>73</v>
      </c>
      <c r="I138" s="2" t="s">
        <v>74</v>
      </c>
      <c r="J138" s="2" t="s">
        <v>115</v>
      </c>
    </row>
    <row r="139" spans="1:10" x14ac:dyDescent="0.25">
      <c r="A139" s="2" t="s">
        <v>116</v>
      </c>
      <c r="B139" s="2" t="s">
        <v>49</v>
      </c>
      <c r="C139" s="2" t="s">
        <v>107</v>
      </c>
      <c r="D139" s="14">
        <v>0.02</v>
      </c>
      <c r="E139" s="14">
        <v>1.4999999999999999E-2</v>
      </c>
      <c r="F139" s="14">
        <v>0.01</v>
      </c>
      <c r="G139" s="15">
        <f t="shared" si="3"/>
        <v>1.4999999999999999E-2</v>
      </c>
      <c r="H139" s="2" t="s">
        <v>73</v>
      </c>
      <c r="I139" s="2" t="s">
        <v>74</v>
      </c>
      <c r="J139" s="2" t="s">
        <v>117</v>
      </c>
    </row>
    <row r="140" spans="1:10" x14ac:dyDescent="0.25">
      <c r="A140" s="2" t="s">
        <v>118</v>
      </c>
      <c r="B140" s="2" t="s">
        <v>49</v>
      </c>
      <c r="C140" s="2" t="s">
        <v>107</v>
      </c>
      <c r="D140" s="14">
        <v>0.06</v>
      </c>
      <c r="E140" s="14">
        <v>5.5E-2</v>
      </c>
      <c r="F140" s="14">
        <v>0.05</v>
      </c>
      <c r="G140" s="15">
        <f t="shared" si="3"/>
        <v>5.5E-2</v>
      </c>
      <c r="H140" s="2" t="s">
        <v>73</v>
      </c>
      <c r="I140" s="2" t="s">
        <v>74</v>
      </c>
      <c r="J140" s="2" t="s">
        <v>119</v>
      </c>
    </row>
    <row r="141" spans="1:10" x14ac:dyDescent="0.25">
      <c r="A141" s="2" t="s">
        <v>120</v>
      </c>
      <c r="B141" s="2" t="s">
        <v>121</v>
      </c>
      <c r="C141" s="2" t="s">
        <v>107</v>
      </c>
      <c r="D141" s="20">
        <v>34.81</v>
      </c>
      <c r="E141" s="20">
        <v>34.81</v>
      </c>
      <c r="F141" s="20">
        <v>34.81</v>
      </c>
      <c r="G141" s="21">
        <f t="shared" si="3"/>
        <v>34.81</v>
      </c>
      <c r="H141" s="2" t="s">
        <v>122</v>
      </c>
      <c r="I141" s="2" t="s">
        <v>123</v>
      </c>
      <c r="J141" s="2" t="s">
        <v>124</v>
      </c>
    </row>
    <row r="142" spans="1:10" x14ac:dyDescent="0.25">
      <c r="A142" s="2" t="s">
        <v>125</v>
      </c>
      <c r="B142" s="2" t="s">
        <v>126</v>
      </c>
      <c r="C142" s="2" t="s">
        <v>107</v>
      </c>
      <c r="D142" s="22">
        <v>7.0063000000000004</v>
      </c>
      <c r="E142" s="22">
        <v>7.0063000000000004</v>
      </c>
      <c r="F142" s="22">
        <v>7.0063000000000004</v>
      </c>
      <c r="G142" s="23">
        <f t="shared" si="3"/>
        <v>7.0063000000000004</v>
      </c>
      <c r="H142" s="2" t="s">
        <v>122</v>
      </c>
      <c r="I142" s="2" t="s">
        <v>123</v>
      </c>
      <c r="J142" s="2" t="s">
        <v>127</v>
      </c>
    </row>
    <row r="143" spans="1:10" x14ac:dyDescent="0.25">
      <c r="A143" s="2" t="s">
        <v>128</v>
      </c>
      <c r="B143" s="2" t="s">
        <v>129</v>
      </c>
      <c r="C143" s="2" t="s">
        <v>107</v>
      </c>
      <c r="D143" s="16">
        <v>286.78922549999999</v>
      </c>
      <c r="E143" s="16">
        <v>286.78922549999999</v>
      </c>
      <c r="F143" s="16">
        <v>286.78922549999999</v>
      </c>
      <c r="G143" s="17">
        <f t="shared" si="3"/>
        <v>286.78922549999999</v>
      </c>
      <c r="H143" s="2" t="s">
        <v>122</v>
      </c>
      <c r="I143" s="2" t="s">
        <v>123</v>
      </c>
      <c r="J143" s="2" t="s">
        <v>130</v>
      </c>
    </row>
    <row r="144" spans="1:10" x14ac:dyDescent="0.25">
      <c r="A144" s="2" t="s">
        <v>131</v>
      </c>
      <c r="B144" s="2" t="s">
        <v>129</v>
      </c>
      <c r="C144" s="2" t="s">
        <v>107</v>
      </c>
      <c r="D144" s="16">
        <v>321.021630125</v>
      </c>
      <c r="E144" s="16">
        <v>321.021630125</v>
      </c>
      <c r="F144" s="16">
        <v>321.021630125</v>
      </c>
      <c r="G144" s="17">
        <f t="shared" si="3"/>
        <v>321.021630125</v>
      </c>
      <c r="H144" s="2" t="s">
        <v>122</v>
      </c>
      <c r="I144" s="2" t="s">
        <v>123</v>
      </c>
      <c r="J144" s="2" t="s">
        <v>132</v>
      </c>
    </row>
    <row r="145" spans="1:10" x14ac:dyDescent="0.25">
      <c r="A145" s="2" t="s">
        <v>133</v>
      </c>
      <c r="B145" s="2" t="s">
        <v>46</v>
      </c>
      <c r="C145" s="2" t="s">
        <v>107</v>
      </c>
      <c r="D145" s="16">
        <v>0</v>
      </c>
      <c r="E145" s="16">
        <v>0</v>
      </c>
      <c r="F145" s="16">
        <v>0</v>
      </c>
      <c r="G145" s="17">
        <f t="shared" si="3"/>
        <v>0</v>
      </c>
      <c r="H145" s="2" t="s">
        <v>122</v>
      </c>
      <c r="I145" s="2" t="s">
        <v>123</v>
      </c>
      <c r="J145" s="2" t="s">
        <v>134</v>
      </c>
    </row>
    <row r="146" spans="1:10" x14ac:dyDescent="0.25">
      <c r="A146" s="2" t="s">
        <v>135</v>
      </c>
      <c r="B146" s="2" t="s">
        <v>46</v>
      </c>
      <c r="C146" s="2" t="s">
        <v>107</v>
      </c>
      <c r="D146" s="16">
        <v>8901.5349999999999</v>
      </c>
      <c r="E146" s="16">
        <v>8901.5349999999999</v>
      </c>
      <c r="F146" s="16">
        <v>8901.5349999999999</v>
      </c>
      <c r="G146" s="17">
        <f t="shared" si="3"/>
        <v>8901.5349999999999</v>
      </c>
      <c r="H146" s="2" t="s">
        <v>122</v>
      </c>
      <c r="I146" s="2" t="s">
        <v>123</v>
      </c>
      <c r="J146" s="2" t="s">
        <v>136</v>
      </c>
    </row>
    <row r="147" spans="1:10" x14ac:dyDescent="0.25">
      <c r="A147" s="2" t="s">
        <v>137</v>
      </c>
      <c r="B147" s="2" t="s">
        <v>46</v>
      </c>
      <c r="C147" s="2" t="s">
        <v>107</v>
      </c>
      <c r="D147" s="16">
        <v>1514.66</v>
      </c>
      <c r="E147" s="16">
        <v>1514.66</v>
      </c>
      <c r="F147" s="16">
        <v>1514.66</v>
      </c>
      <c r="G147" s="17">
        <f t="shared" si="3"/>
        <v>1514.66</v>
      </c>
      <c r="H147" s="2" t="s">
        <v>122</v>
      </c>
      <c r="I147" s="2" t="s">
        <v>123</v>
      </c>
      <c r="J147" s="2" t="s">
        <v>138</v>
      </c>
    </row>
    <row r="149" spans="1:10" ht="18.95" customHeight="1" x14ac:dyDescent="0.25">
      <c r="A149" s="48" t="s">
        <v>139</v>
      </c>
      <c r="B149" s="49"/>
      <c r="C149" s="49"/>
      <c r="D149" s="49"/>
      <c r="E149" s="49"/>
      <c r="F149" s="49"/>
      <c r="G149" s="49"/>
      <c r="H149" s="49"/>
      <c r="I149" s="49"/>
      <c r="J149" s="49"/>
    </row>
    <row r="150" spans="1:10" ht="30" customHeight="1" x14ac:dyDescent="0.25">
      <c r="A150" s="10" t="s">
        <v>140</v>
      </c>
      <c r="B150" s="10" t="s">
        <v>39</v>
      </c>
      <c r="C150" s="10" t="s">
        <v>141</v>
      </c>
      <c r="D150" s="10" t="s">
        <v>142</v>
      </c>
      <c r="E150" s="10"/>
      <c r="F150" s="10"/>
      <c r="G150" s="10"/>
      <c r="H150" s="10" t="s">
        <v>68</v>
      </c>
      <c r="I150" s="10" t="s">
        <v>69</v>
      </c>
      <c r="J150" s="10" t="s">
        <v>143</v>
      </c>
    </row>
    <row r="151" spans="1:10" x14ac:dyDescent="0.25">
      <c r="A151" s="2" t="s">
        <v>144</v>
      </c>
      <c r="B151" s="2" t="s">
        <v>49</v>
      </c>
      <c r="C151" s="24">
        <v>1</v>
      </c>
      <c r="D151" s="25">
        <v>0.10575</v>
      </c>
      <c r="H151" s="2" t="s">
        <v>73</v>
      </c>
      <c r="I151" s="2" t="s">
        <v>74</v>
      </c>
      <c r="J151" s="2" t="s">
        <v>145</v>
      </c>
    </row>
    <row r="152" spans="1:10" x14ac:dyDescent="0.25">
      <c r="A152" s="2" t="s">
        <v>144</v>
      </c>
      <c r="B152" s="2" t="s">
        <v>49</v>
      </c>
      <c r="C152" s="24">
        <v>2</v>
      </c>
      <c r="D152" s="25">
        <v>0.11075</v>
      </c>
      <c r="H152" s="2" t="s">
        <v>73</v>
      </c>
      <c r="I152" s="2" t="s">
        <v>74</v>
      </c>
      <c r="J152" s="2" t="s">
        <v>145</v>
      </c>
    </row>
    <row r="153" spans="1:10" x14ac:dyDescent="0.25">
      <c r="A153" s="2" t="s">
        <v>144</v>
      </c>
      <c r="B153" s="2" t="s">
        <v>49</v>
      </c>
      <c r="C153" s="24">
        <v>3</v>
      </c>
      <c r="D153" s="25">
        <v>0.11575000000000001</v>
      </c>
      <c r="H153" s="2" t="s">
        <v>73</v>
      </c>
      <c r="I153" s="2" t="s">
        <v>74</v>
      </c>
      <c r="J153" s="2" t="s">
        <v>145</v>
      </c>
    </row>
    <row r="154" spans="1:10" x14ac:dyDescent="0.25">
      <c r="A154" s="2" t="s">
        <v>144</v>
      </c>
      <c r="B154" s="2" t="s">
        <v>49</v>
      </c>
      <c r="C154" s="24">
        <v>4</v>
      </c>
      <c r="D154" s="25">
        <v>0.12075</v>
      </c>
      <c r="H154" s="2" t="s">
        <v>73</v>
      </c>
      <c r="I154" s="2" t="s">
        <v>74</v>
      </c>
      <c r="J154" s="2" t="s">
        <v>145</v>
      </c>
    </row>
    <row r="155" spans="1:10" x14ac:dyDescent="0.25">
      <c r="A155" s="2" t="s">
        <v>144</v>
      </c>
      <c r="B155" s="2" t="s">
        <v>49</v>
      </c>
      <c r="C155" s="24">
        <v>5</v>
      </c>
      <c r="D155" s="25">
        <v>0.12575</v>
      </c>
      <c r="H155" s="2" t="s">
        <v>73</v>
      </c>
      <c r="I155" s="2" t="s">
        <v>74</v>
      </c>
      <c r="J155" s="2" t="s">
        <v>145</v>
      </c>
    </row>
    <row r="156" spans="1:10" x14ac:dyDescent="0.25">
      <c r="A156" s="2" t="s">
        <v>146</v>
      </c>
      <c r="B156" s="2" t="s">
        <v>49</v>
      </c>
      <c r="C156" s="24">
        <v>1</v>
      </c>
      <c r="D156" s="25">
        <v>1.4999999999999999E-2</v>
      </c>
      <c r="H156" s="2" t="s">
        <v>73</v>
      </c>
      <c r="I156" s="2" t="s">
        <v>74</v>
      </c>
      <c r="J156" s="2" t="s">
        <v>145</v>
      </c>
    </row>
    <row r="157" spans="1:10" x14ac:dyDescent="0.25">
      <c r="A157" s="2" t="s">
        <v>146</v>
      </c>
      <c r="B157" s="2" t="s">
        <v>49</v>
      </c>
      <c r="C157" s="24">
        <v>2</v>
      </c>
      <c r="D157" s="25">
        <v>0.02</v>
      </c>
      <c r="H157" s="2" t="s">
        <v>73</v>
      </c>
      <c r="I157" s="2" t="s">
        <v>74</v>
      </c>
      <c r="J157" s="2" t="s">
        <v>145</v>
      </c>
    </row>
    <row r="158" spans="1:10" x14ac:dyDescent="0.25">
      <c r="A158" s="2" t="s">
        <v>146</v>
      </c>
      <c r="B158" s="2" t="s">
        <v>49</v>
      </c>
      <c r="C158" s="24">
        <v>3</v>
      </c>
      <c r="D158" s="25">
        <v>2.5000000000000001E-2</v>
      </c>
      <c r="H158" s="2" t="s">
        <v>73</v>
      </c>
      <c r="I158" s="2" t="s">
        <v>74</v>
      </c>
      <c r="J158" s="2" t="s">
        <v>145</v>
      </c>
    </row>
    <row r="159" spans="1:10" x14ac:dyDescent="0.25">
      <c r="A159" s="2" t="s">
        <v>146</v>
      </c>
      <c r="B159" s="2" t="s">
        <v>49</v>
      </c>
      <c r="C159" s="24">
        <v>4</v>
      </c>
      <c r="D159" s="25">
        <v>0.03</v>
      </c>
      <c r="H159" s="2" t="s">
        <v>73</v>
      </c>
      <c r="I159" s="2" t="s">
        <v>74</v>
      </c>
      <c r="J159" s="2" t="s">
        <v>145</v>
      </c>
    </row>
    <row r="160" spans="1:10" x14ac:dyDescent="0.25">
      <c r="A160" s="2" t="s">
        <v>146</v>
      </c>
      <c r="B160" s="2" t="s">
        <v>49</v>
      </c>
      <c r="C160" s="24">
        <v>5</v>
      </c>
      <c r="D160" s="25">
        <v>3.5000000000000003E-2</v>
      </c>
      <c r="H160" s="2" t="s">
        <v>73</v>
      </c>
      <c r="I160" s="2" t="s">
        <v>74</v>
      </c>
      <c r="J160" s="2" t="s">
        <v>145</v>
      </c>
    </row>
    <row r="161" spans="1:10" x14ac:dyDescent="0.25">
      <c r="A161" s="2" t="s">
        <v>147</v>
      </c>
      <c r="B161" s="2" t="s">
        <v>49</v>
      </c>
      <c r="C161" s="24">
        <v>1</v>
      </c>
      <c r="D161" s="25">
        <v>-0.04</v>
      </c>
      <c r="H161" s="2" t="s">
        <v>73</v>
      </c>
      <c r="I161" s="2" t="s">
        <v>74</v>
      </c>
      <c r="J161" s="2" t="s">
        <v>145</v>
      </c>
    </row>
    <row r="162" spans="1:10" x14ac:dyDescent="0.25">
      <c r="A162" s="2" t="s">
        <v>147</v>
      </c>
      <c r="B162" s="2" t="s">
        <v>49</v>
      </c>
      <c r="C162" s="24">
        <v>2</v>
      </c>
      <c r="D162" s="25">
        <v>-0.02</v>
      </c>
      <c r="H162" s="2" t="s">
        <v>73</v>
      </c>
      <c r="I162" s="2" t="s">
        <v>74</v>
      </c>
      <c r="J162" s="2" t="s">
        <v>145</v>
      </c>
    </row>
    <row r="163" spans="1:10" x14ac:dyDescent="0.25">
      <c r="A163" s="2" t="s">
        <v>147</v>
      </c>
      <c r="B163" s="2" t="s">
        <v>49</v>
      </c>
      <c r="C163" s="24">
        <v>3</v>
      </c>
      <c r="D163" s="25">
        <v>0</v>
      </c>
      <c r="H163" s="2" t="s">
        <v>73</v>
      </c>
      <c r="I163" s="2" t="s">
        <v>74</v>
      </c>
      <c r="J163" s="2" t="s">
        <v>145</v>
      </c>
    </row>
    <row r="164" spans="1:10" x14ac:dyDescent="0.25">
      <c r="A164" s="2" t="s">
        <v>147</v>
      </c>
      <c r="B164" s="2" t="s">
        <v>49</v>
      </c>
      <c r="C164" s="24">
        <v>4</v>
      </c>
      <c r="D164" s="25">
        <v>0.02</v>
      </c>
      <c r="H164" s="2" t="s">
        <v>73</v>
      </c>
      <c r="I164" s="2" t="s">
        <v>74</v>
      </c>
      <c r="J164" s="2" t="s">
        <v>145</v>
      </c>
    </row>
    <row r="165" spans="1:10" x14ac:dyDescent="0.25">
      <c r="A165" s="2" t="s">
        <v>147</v>
      </c>
      <c r="B165" s="2" t="s">
        <v>49</v>
      </c>
      <c r="C165" s="24">
        <v>5</v>
      </c>
      <c r="D165" s="25">
        <v>0.04</v>
      </c>
      <c r="H165" s="2" t="s">
        <v>73</v>
      </c>
      <c r="I165" s="2" t="s">
        <v>74</v>
      </c>
      <c r="J165" s="2" t="s">
        <v>145</v>
      </c>
    </row>
    <row r="166" spans="1:10" x14ac:dyDescent="0.25">
      <c r="A166" s="2" t="s">
        <v>148</v>
      </c>
      <c r="B166" s="2" t="s">
        <v>49</v>
      </c>
      <c r="C166" s="24">
        <v>1</v>
      </c>
      <c r="D166" s="25">
        <v>-0.03</v>
      </c>
      <c r="H166" s="2" t="s">
        <v>73</v>
      </c>
      <c r="I166" s="2" t="s">
        <v>74</v>
      </c>
      <c r="J166" s="2" t="s">
        <v>145</v>
      </c>
    </row>
    <row r="167" spans="1:10" x14ac:dyDescent="0.25">
      <c r="A167" s="2" t="s">
        <v>148</v>
      </c>
      <c r="B167" s="2" t="s">
        <v>49</v>
      </c>
      <c r="C167" s="24">
        <v>2</v>
      </c>
      <c r="D167" s="25">
        <v>-1.4999999999999999E-2</v>
      </c>
      <c r="H167" s="2" t="s">
        <v>73</v>
      </c>
      <c r="I167" s="2" t="s">
        <v>74</v>
      </c>
      <c r="J167" s="2" t="s">
        <v>145</v>
      </c>
    </row>
    <row r="168" spans="1:10" x14ac:dyDescent="0.25">
      <c r="A168" s="2" t="s">
        <v>148</v>
      </c>
      <c r="B168" s="2" t="s">
        <v>49</v>
      </c>
      <c r="C168" s="24">
        <v>3</v>
      </c>
      <c r="D168" s="25">
        <v>0</v>
      </c>
      <c r="H168" s="2" t="s">
        <v>73</v>
      </c>
      <c r="I168" s="2" t="s">
        <v>74</v>
      </c>
      <c r="J168" s="2" t="s">
        <v>145</v>
      </c>
    </row>
    <row r="169" spans="1:10" x14ac:dyDescent="0.25">
      <c r="A169" s="2" t="s">
        <v>148</v>
      </c>
      <c r="B169" s="2" t="s">
        <v>49</v>
      </c>
      <c r="C169" s="24">
        <v>4</v>
      </c>
      <c r="D169" s="25">
        <v>1.4999999999999999E-2</v>
      </c>
      <c r="H169" s="2" t="s">
        <v>73</v>
      </c>
      <c r="I169" s="2" t="s">
        <v>74</v>
      </c>
      <c r="J169" s="2" t="s">
        <v>145</v>
      </c>
    </row>
    <row r="170" spans="1:10" x14ac:dyDescent="0.25">
      <c r="A170" s="2" t="s">
        <v>148</v>
      </c>
      <c r="B170" s="2" t="s">
        <v>49</v>
      </c>
      <c r="C170" s="24">
        <v>5</v>
      </c>
      <c r="D170" s="25">
        <v>0.03</v>
      </c>
      <c r="H170" s="2" t="s">
        <v>73</v>
      </c>
      <c r="I170" s="2" t="s">
        <v>74</v>
      </c>
      <c r="J170" s="2" t="s">
        <v>145</v>
      </c>
    </row>
    <row r="171" spans="1:10" x14ac:dyDescent="0.25">
      <c r="A171" s="2" t="s">
        <v>149</v>
      </c>
      <c r="B171" s="2" t="s">
        <v>112</v>
      </c>
      <c r="C171" s="24">
        <v>1</v>
      </c>
      <c r="D171" s="18">
        <v>0.85</v>
      </c>
      <c r="H171" s="2" t="s">
        <v>73</v>
      </c>
      <c r="I171" s="2" t="s">
        <v>74</v>
      </c>
      <c r="J171" s="2" t="s">
        <v>145</v>
      </c>
    </row>
    <row r="172" spans="1:10" x14ac:dyDescent="0.25">
      <c r="A172" s="2" t="s">
        <v>149</v>
      </c>
      <c r="B172" s="2" t="s">
        <v>112</v>
      </c>
      <c r="C172" s="24">
        <v>2</v>
      </c>
      <c r="D172" s="18">
        <v>0.95</v>
      </c>
      <c r="H172" s="2" t="s">
        <v>73</v>
      </c>
      <c r="I172" s="2" t="s">
        <v>74</v>
      </c>
      <c r="J172" s="2" t="s">
        <v>145</v>
      </c>
    </row>
    <row r="173" spans="1:10" x14ac:dyDescent="0.25">
      <c r="A173" s="2" t="s">
        <v>149</v>
      </c>
      <c r="B173" s="2" t="s">
        <v>112</v>
      </c>
      <c r="C173" s="24">
        <v>3</v>
      </c>
      <c r="D173" s="18">
        <v>1.05</v>
      </c>
      <c r="H173" s="2" t="s">
        <v>73</v>
      </c>
      <c r="I173" s="2" t="s">
        <v>74</v>
      </c>
      <c r="J173" s="2" t="s">
        <v>145</v>
      </c>
    </row>
    <row r="174" spans="1:10" x14ac:dyDescent="0.25">
      <c r="A174" s="2" t="s">
        <v>149</v>
      </c>
      <c r="B174" s="2" t="s">
        <v>112</v>
      </c>
      <c r="C174" s="24">
        <v>4</v>
      </c>
      <c r="D174" s="18">
        <v>1.1499999999999999</v>
      </c>
      <c r="H174" s="2" t="s">
        <v>73</v>
      </c>
      <c r="I174" s="2" t="s">
        <v>74</v>
      </c>
      <c r="J174" s="2" t="s">
        <v>145</v>
      </c>
    </row>
    <row r="175" spans="1:10" x14ac:dyDescent="0.25">
      <c r="A175" s="2" t="s">
        <v>149</v>
      </c>
      <c r="B175" s="2" t="s">
        <v>112</v>
      </c>
      <c r="C175" s="24">
        <v>5</v>
      </c>
      <c r="D175" s="18">
        <v>1.25</v>
      </c>
      <c r="H175" s="2" t="s">
        <v>73</v>
      </c>
      <c r="I175" s="2" t="s">
        <v>74</v>
      </c>
      <c r="J175" s="2" t="s">
        <v>145</v>
      </c>
    </row>
    <row r="176" spans="1:10" x14ac:dyDescent="0.25">
      <c r="A176" s="2" t="s">
        <v>150</v>
      </c>
      <c r="B176" s="2" t="s">
        <v>49</v>
      </c>
      <c r="C176" s="24">
        <v>1</v>
      </c>
      <c r="D176" s="25">
        <v>3.3000000000000002E-2</v>
      </c>
      <c r="H176" s="2" t="s">
        <v>73</v>
      </c>
      <c r="I176" s="2" t="s">
        <v>74</v>
      </c>
      <c r="J176" s="2" t="s">
        <v>145</v>
      </c>
    </row>
    <row r="177" spans="1:10" x14ac:dyDescent="0.25">
      <c r="A177" s="2" t="s">
        <v>150</v>
      </c>
      <c r="B177" s="2" t="s">
        <v>49</v>
      </c>
      <c r="C177" s="24">
        <v>2</v>
      </c>
      <c r="D177" s="25">
        <v>3.7999999999999999E-2</v>
      </c>
      <c r="H177" s="2" t="s">
        <v>73</v>
      </c>
      <c r="I177" s="2" t="s">
        <v>74</v>
      </c>
      <c r="J177" s="2" t="s">
        <v>145</v>
      </c>
    </row>
    <row r="178" spans="1:10" x14ac:dyDescent="0.25">
      <c r="A178" s="2" t="s">
        <v>150</v>
      </c>
      <c r="B178" s="2" t="s">
        <v>49</v>
      </c>
      <c r="C178" s="24">
        <v>3</v>
      </c>
      <c r="D178" s="25">
        <v>4.2999999999999997E-2</v>
      </c>
      <c r="H178" s="2" t="s">
        <v>73</v>
      </c>
      <c r="I178" s="2" t="s">
        <v>74</v>
      </c>
      <c r="J178" s="2" t="s">
        <v>145</v>
      </c>
    </row>
    <row r="179" spans="1:10" x14ac:dyDescent="0.25">
      <c r="A179" s="2" t="s">
        <v>150</v>
      </c>
      <c r="B179" s="2" t="s">
        <v>49</v>
      </c>
      <c r="C179" s="24">
        <v>4</v>
      </c>
      <c r="D179" s="25">
        <v>4.8000000000000001E-2</v>
      </c>
      <c r="H179" s="2" t="s">
        <v>73</v>
      </c>
      <c r="I179" s="2" t="s">
        <v>74</v>
      </c>
      <c r="J179" s="2" t="s">
        <v>145</v>
      </c>
    </row>
    <row r="180" spans="1:10" x14ac:dyDescent="0.25">
      <c r="A180" s="2" t="s">
        <v>150</v>
      </c>
      <c r="B180" s="2" t="s">
        <v>49</v>
      </c>
      <c r="C180" s="24">
        <v>5</v>
      </c>
      <c r="D180" s="25">
        <v>5.2999999999999999E-2</v>
      </c>
      <c r="H180" s="2" t="s">
        <v>73</v>
      </c>
      <c r="I180" s="2" t="s">
        <v>74</v>
      </c>
      <c r="J180" s="2" t="s">
        <v>145</v>
      </c>
    </row>
  </sheetData>
  <autoFilter ref="A19:J180" xr:uid="{00000000-0009-0000-0000-000001000000}"/>
  <mergeCells count="4">
    <mergeCell ref="A6:J6"/>
    <mergeCell ref="A149:J149"/>
    <mergeCell ref="A1:J1"/>
    <mergeCell ref="A18:J18"/>
  </mergeCells>
  <dataValidations count="1">
    <dataValidation type="list" showInputMessage="1" showErrorMessage="1" errorTitle="Invalid scenario" error="Choose 1 (Bear), 2 (Base), or 3 (Bull)." promptTitle="Scenario selector" prompt="1=Bear, 2=Base, 3=Bull" sqref="B4" xr:uid="{00000000-0002-0000-0100-000000000000}">
      <formula1>"1,2,3"</formula1>
    </dataValidation>
  </dataValidations>
  <pageMargins left="0.75" right="0.75" top="1" bottom="1" header="0.5" footer="0.5"/>
  <pageSetup fitToHeight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59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10" width="14" customWidth="1"/>
  </cols>
  <sheetData>
    <row r="1" spans="1:10" ht="18" x14ac:dyDescent="0.25">
      <c r="A1" s="50" t="s">
        <v>151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x14ac:dyDescent="0.25">
      <c r="A2" s="2" t="s">
        <v>36</v>
      </c>
      <c r="B2" s="26" t="str">
        <f>Assumptions!$D$4</f>
        <v>Base</v>
      </c>
    </row>
    <row r="4" spans="1:10" ht="30" customHeight="1" x14ac:dyDescent="0.25">
      <c r="A4" s="10" t="s">
        <v>152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72</v>
      </c>
      <c r="G4" s="10" t="s">
        <v>76</v>
      </c>
      <c r="H4" s="10" t="s">
        <v>77</v>
      </c>
      <c r="I4" s="10" t="s">
        <v>78</v>
      </c>
      <c r="J4" s="10" t="s">
        <v>79</v>
      </c>
    </row>
    <row r="5" spans="1:10" x14ac:dyDescent="0.25">
      <c r="A5" s="2" t="s">
        <v>153</v>
      </c>
      <c r="B5" s="13">
        <v>5652</v>
      </c>
      <c r="C5" s="13">
        <v>10628</v>
      </c>
      <c r="D5" s="13">
        <v>14591</v>
      </c>
      <c r="E5" s="13">
        <v>20234</v>
      </c>
      <c r="F5" s="12">
        <f>E5*(1+Assumptions!$G$20)</f>
        <v>25292.5</v>
      </c>
      <c r="G5" s="12">
        <f>F5*(1+Assumptions!$G$21)</f>
        <v>30351</v>
      </c>
      <c r="H5" s="12">
        <f>G5*(1+Assumptions!$G$22)</f>
        <v>35207.159999999996</v>
      </c>
      <c r="I5" s="12">
        <f>H5*(1+Assumptions!$G$23)</f>
        <v>39432.019200000002</v>
      </c>
      <c r="J5" s="12">
        <f>I5*(1+Assumptions!$G$24)</f>
        <v>43375.221120000009</v>
      </c>
    </row>
    <row r="6" spans="1:10" x14ac:dyDescent="0.25">
      <c r="A6" s="27" t="s">
        <v>154</v>
      </c>
      <c r="B6" s="28" t="s">
        <v>155</v>
      </c>
      <c r="C6" s="15">
        <f t="shared" ref="C6:J6" si="0">C5/B5-1</f>
        <v>0.8803963198867657</v>
      </c>
      <c r="D6" s="15">
        <f t="shared" si="0"/>
        <v>0.37288295069627408</v>
      </c>
      <c r="E6" s="15">
        <f t="shared" si="0"/>
        <v>0.38674525392365156</v>
      </c>
      <c r="F6" s="15">
        <f t="shared" si="0"/>
        <v>0.25</v>
      </c>
      <c r="G6" s="15">
        <f t="shared" si="0"/>
        <v>0.19999999999999996</v>
      </c>
      <c r="H6" s="15">
        <f t="shared" si="0"/>
        <v>0.15999999999999992</v>
      </c>
      <c r="I6" s="15">
        <f t="shared" si="0"/>
        <v>0.12000000000000011</v>
      </c>
      <c r="J6" s="15">
        <f t="shared" si="0"/>
        <v>0.10000000000000009</v>
      </c>
    </row>
    <row r="7" spans="1:10" x14ac:dyDescent="0.25">
      <c r="A7" s="2" t="s">
        <v>156</v>
      </c>
      <c r="B7" s="12">
        <f>AVERAGE(Assumptions!$B$15,B5)</f>
        <v>5024.5</v>
      </c>
      <c r="C7" s="29">
        <f t="shared" ref="C7:J7" si="1">AVERAGE(B5,C5)</f>
        <v>8140</v>
      </c>
      <c r="D7" s="29">
        <f t="shared" si="1"/>
        <v>12609.5</v>
      </c>
      <c r="E7" s="29">
        <f t="shared" si="1"/>
        <v>17412.5</v>
      </c>
      <c r="F7" s="29">
        <f t="shared" si="1"/>
        <v>22763.25</v>
      </c>
      <c r="G7" s="29">
        <f t="shared" si="1"/>
        <v>27821.75</v>
      </c>
      <c r="H7" s="29">
        <f t="shared" si="1"/>
        <v>32779.08</v>
      </c>
      <c r="I7" s="29">
        <f t="shared" si="1"/>
        <v>37319.589599999999</v>
      </c>
      <c r="J7" s="29">
        <f t="shared" si="1"/>
        <v>41403.620160000006</v>
      </c>
    </row>
    <row r="8" spans="1:10" x14ac:dyDescent="0.25">
      <c r="A8" s="2" t="s">
        <v>157</v>
      </c>
      <c r="B8" s="17">
        <f>B10/B7</f>
        <v>2.0347736093143594</v>
      </c>
      <c r="C8" s="17">
        <f>C10/C7</f>
        <v>2.2945196560196561</v>
      </c>
      <c r="D8" s="17">
        <f>D10/D7</f>
        <v>2.1197924580673302</v>
      </c>
      <c r="E8" s="17">
        <f>E10/E7</f>
        <v>2.1647899497487435</v>
      </c>
      <c r="F8" s="4">
        <f>E8*(1+Assumptions!$G$30)</f>
        <v>2.1214941507537688</v>
      </c>
      <c r="G8" s="4">
        <f>F8*(1+Assumptions!$G$31)</f>
        <v>2.1639240337688443</v>
      </c>
      <c r="H8" s="4">
        <f>G8*(1+Assumptions!$G$32)</f>
        <v>2.2288417547819099</v>
      </c>
      <c r="I8" s="4">
        <f>H8*(1+Assumptions!$G$33)</f>
        <v>2.2957070074253672</v>
      </c>
      <c r="J8" s="4">
        <f>I8*(1+Assumptions!$G$34)</f>
        <v>2.3645782176481283</v>
      </c>
    </row>
    <row r="9" spans="1:10" x14ac:dyDescent="0.25">
      <c r="A9" s="27" t="s">
        <v>158</v>
      </c>
      <c r="B9" s="28" t="s">
        <v>155</v>
      </c>
      <c r="C9" s="15">
        <f t="shared" ref="C9:J9" si="2">C8/B8-1</f>
        <v>0.12765353625400189</v>
      </c>
      <c r="D9" s="15">
        <f t="shared" si="2"/>
        <v>-7.6149793484632133E-2</v>
      </c>
      <c r="E9" s="15">
        <f t="shared" si="2"/>
        <v>2.1227310018094192E-2</v>
      </c>
      <c r="F9" s="15">
        <f t="shared" si="2"/>
        <v>-1.9999999999999907E-2</v>
      </c>
      <c r="G9" s="15">
        <f t="shared" si="2"/>
        <v>2.0000000000000018E-2</v>
      </c>
      <c r="H9" s="15">
        <f t="shared" si="2"/>
        <v>3.0000000000000027E-2</v>
      </c>
      <c r="I9" s="15">
        <f t="shared" si="2"/>
        <v>3.0000000000000027E-2</v>
      </c>
      <c r="J9" s="15">
        <f t="shared" si="2"/>
        <v>3.0000000000000027E-2</v>
      </c>
    </row>
    <row r="10" spans="1:10" x14ac:dyDescent="0.25">
      <c r="A10" s="2" t="s">
        <v>159</v>
      </c>
      <c r="B10" s="16">
        <v>10223.719999999999</v>
      </c>
      <c r="C10" s="16">
        <v>18677.39</v>
      </c>
      <c r="D10" s="16">
        <v>26729.523000000001</v>
      </c>
      <c r="E10" s="16">
        <v>37694.404999999999</v>
      </c>
      <c r="F10" s="17">
        <f>F7*F8</f>
        <v>48292.101727145724</v>
      </c>
      <c r="G10" s="17">
        <f>G7*G8</f>
        <v>60204.153486508345</v>
      </c>
      <c r="H10" s="17">
        <f>H7*H8</f>
        <v>73059.382187336611</v>
      </c>
      <c r="I10" s="17">
        <f>I7*I8</f>
        <v>85674.843358958853</v>
      </c>
      <c r="J10" s="17">
        <f>J7*J8</f>
        <v>97902.098362112927</v>
      </c>
    </row>
    <row r="11" spans="1:10" x14ac:dyDescent="0.25">
      <c r="A11" s="27" t="s">
        <v>160</v>
      </c>
      <c r="B11" s="28" t="s">
        <v>155</v>
      </c>
      <c r="C11" s="15">
        <f t="shared" ref="C11:J11" si="3">C10/B10-1</f>
        <v>0.82686830234004849</v>
      </c>
      <c r="D11" s="15">
        <f t="shared" si="3"/>
        <v>0.43111660676357899</v>
      </c>
      <c r="E11" s="15">
        <f t="shared" si="3"/>
        <v>0.41021614938657902</v>
      </c>
      <c r="F11" s="15">
        <f t="shared" si="3"/>
        <v>0.28114773869346732</v>
      </c>
      <c r="G11" s="15">
        <f t="shared" si="3"/>
        <v>0.24666666666666681</v>
      </c>
      <c r="H11" s="15">
        <f t="shared" si="3"/>
        <v>0.21352727272727301</v>
      </c>
      <c r="I11" s="15">
        <f t="shared" si="3"/>
        <v>0.17267407407407398</v>
      </c>
      <c r="J11" s="15">
        <f t="shared" si="3"/>
        <v>0.14271698113207565</v>
      </c>
    </row>
    <row r="13" spans="1:10" x14ac:dyDescent="0.25">
      <c r="A13" s="2" t="s">
        <v>161</v>
      </c>
      <c r="B13" s="13">
        <v>2562</v>
      </c>
      <c r="C13" s="13">
        <v>5620</v>
      </c>
      <c r="D13" s="13">
        <v>7749</v>
      </c>
      <c r="E13" s="13">
        <v>10814</v>
      </c>
      <c r="F13" s="12">
        <f>E13*(1+Assumptions!$G$25)</f>
        <v>13517.5</v>
      </c>
      <c r="G13" s="12">
        <f>F13*(1+Assumptions!$G$26)</f>
        <v>16491.349999999999</v>
      </c>
      <c r="H13" s="12">
        <f>G13*(1+Assumptions!$G$27)</f>
        <v>19459.792999999998</v>
      </c>
      <c r="I13" s="12">
        <f>H13*(1+Assumptions!$G$28)</f>
        <v>22378.761949999996</v>
      </c>
      <c r="J13" s="12">
        <f>I13*(1+Assumptions!$G$29)</f>
        <v>25064.213383999999</v>
      </c>
    </row>
    <row r="14" spans="1:10" x14ac:dyDescent="0.25">
      <c r="A14" s="27" t="s">
        <v>162</v>
      </c>
      <c r="B14" s="28" t="s">
        <v>155</v>
      </c>
      <c r="C14" s="15">
        <f t="shared" ref="C14:J14" si="4">C13/B13-1</f>
        <v>1.1935987509758004</v>
      </c>
      <c r="D14" s="15">
        <f t="shared" si="4"/>
        <v>0.37882562277580067</v>
      </c>
      <c r="E14" s="15">
        <f t="shared" si="4"/>
        <v>0.39553490773002964</v>
      </c>
      <c r="F14" s="15">
        <f t="shared" si="4"/>
        <v>0.25</v>
      </c>
      <c r="G14" s="15">
        <f t="shared" si="4"/>
        <v>0.21999999999999997</v>
      </c>
      <c r="H14" s="15">
        <f t="shared" si="4"/>
        <v>0.17999999999999994</v>
      </c>
      <c r="I14" s="15">
        <f t="shared" si="4"/>
        <v>0.14999999999999991</v>
      </c>
      <c r="J14" s="15">
        <f t="shared" si="4"/>
        <v>0.12000000000000011</v>
      </c>
    </row>
    <row r="15" spans="1:10" x14ac:dyDescent="0.25">
      <c r="A15" s="2" t="s">
        <v>163</v>
      </c>
      <c r="B15" s="12">
        <f>AVERAGE(Assumptions!$B$16,B13)</f>
        <v>2094.5</v>
      </c>
      <c r="C15" s="29">
        <f t="shared" ref="C15:J15" si="5">AVERAGE(B13,C13)</f>
        <v>4091</v>
      </c>
      <c r="D15" s="29">
        <f t="shared" si="5"/>
        <v>6684.5</v>
      </c>
      <c r="E15" s="29">
        <f t="shared" si="5"/>
        <v>9281.5</v>
      </c>
      <c r="F15" s="29">
        <f t="shared" si="5"/>
        <v>12165.75</v>
      </c>
      <c r="G15" s="29">
        <f t="shared" si="5"/>
        <v>15004.424999999999</v>
      </c>
      <c r="H15" s="29">
        <f t="shared" si="5"/>
        <v>17975.571499999998</v>
      </c>
      <c r="I15" s="29">
        <f t="shared" si="5"/>
        <v>20919.277474999995</v>
      </c>
      <c r="J15" s="29">
        <f t="shared" si="5"/>
        <v>23721.487666999998</v>
      </c>
    </row>
    <row r="16" spans="1:10" x14ac:dyDescent="0.25">
      <c r="A16" s="2" t="s">
        <v>164</v>
      </c>
      <c r="B16" s="17">
        <f>B18/B15</f>
        <v>1.4653912628312247</v>
      </c>
      <c r="C16" s="17">
        <f>C18/C15</f>
        <v>1.5218225372769494</v>
      </c>
      <c r="D16" s="17">
        <f>D18/D15</f>
        <v>1.1586941431670281</v>
      </c>
      <c r="E16" s="17">
        <f>E18/E15</f>
        <v>1.2491181382319669</v>
      </c>
      <c r="F16" s="4">
        <f>E16*(1+Assumptions!$G$35)</f>
        <v>1.2491181382319669</v>
      </c>
      <c r="G16" s="4">
        <f>F16*(1+Assumptions!$G$36)</f>
        <v>1.2741005009966062</v>
      </c>
      <c r="H16" s="4">
        <f>G16*(1+Assumptions!$G$37)</f>
        <v>1.3123235160265043</v>
      </c>
      <c r="I16" s="4">
        <f>H16*(1+Assumptions!$G$38)</f>
        <v>1.3516932215072994</v>
      </c>
      <c r="J16" s="4">
        <f>I16*(1+Assumptions!$G$39)</f>
        <v>1.3922440181525184</v>
      </c>
    </row>
    <row r="17" spans="1:10" x14ac:dyDescent="0.25">
      <c r="A17" s="27" t="s">
        <v>165</v>
      </c>
      <c r="B17" s="28" t="s">
        <v>155</v>
      </c>
      <c r="C17" s="15">
        <f t="shared" ref="C17:J17" si="6">C16/B16-1</f>
        <v>3.850935642723563E-2</v>
      </c>
      <c r="D17" s="15">
        <f t="shared" si="6"/>
        <v>-0.23861415192318003</v>
      </c>
      <c r="E17" s="15">
        <f t="shared" si="6"/>
        <v>7.8039572045980332E-2</v>
      </c>
      <c r="F17" s="15">
        <f t="shared" si="6"/>
        <v>0</v>
      </c>
      <c r="G17" s="15">
        <f t="shared" si="6"/>
        <v>2.0000000000000018E-2</v>
      </c>
      <c r="H17" s="15">
        <f t="shared" si="6"/>
        <v>3.0000000000000027E-2</v>
      </c>
      <c r="I17" s="15">
        <f t="shared" si="6"/>
        <v>3.0000000000000027E-2</v>
      </c>
      <c r="J17" s="15">
        <f t="shared" si="6"/>
        <v>3.0000000000000027E-2</v>
      </c>
    </row>
    <row r="18" spans="1:10" x14ac:dyDescent="0.25">
      <c r="A18" s="2" t="s">
        <v>166</v>
      </c>
      <c r="B18" s="16">
        <v>3069.2620000000002</v>
      </c>
      <c r="C18" s="16">
        <v>6225.7759999999998</v>
      </c>
      <c r="D18" s="16">
        <v>7745.2910000000002</v>
      </c>
      <c r="E18" s="16">
        <v>11593.69</v>
      </c>
      <c r="F18" s="17">
        <f>F15*F16</f>
        <v>15196.458990195551</v>
      </c>
      <c r="G18" s="17">
        <f>G15*G16</f>
        <v>19117.145409666002</v>
      </c>
      <c r="H18" s="17">
        <f>H15*H16</f>
        <v>23589.765193465821</v>
      </c>
      <c r="I18" s="17">
        <f>I15*I16</f>
        <v>28276.445561787827</v>
      </c>
      <c r="J18" s="17">
        <f>J15*J16</f>
        <v>33026.099306059485</v>
      </c>
    </row>
    <row r="19" spans="1:10" x14ac:dyDescent="0.25">
      <c r="A19" s="27" t="s">
        <v>167</v>
      </c>
      <c r="B19" s="28" t="s">
        <v>155</v>
      </c>
      <c r="C19" s="15">
        <f t="shared" ref="C19:J19" si="7">C18/B18-1</f>
        <v>1.0284276806606929</v>
      </c>
      <c r="D19" s="15">
        <f t="shared" si="7"/>
        <v>0.2440683699509909</v>
      </c>
      <c r="E19" s="15">
        <f t="shared" si="7"/>
        <v>0.49686951723311634</v>
      </c>
      <c r="F19" s="15">
        <f t="shared" si="7"/>
        <v>0.31075257232128428</v>
      </c>
      <c r="G19" s="15">
        <f t="shared" si="7"/>
        <v>0.25799999999999979</v>
      </c>
      <c r="H19" s="15">
        <f t="shared" si="7"/>
        <v>0.2339585585585584</v>
      </c>
      <c r="I19" s="15">
        <f t="shared" si="7"/>
        <v>0.19867431192660523</v>
      </c>
      <c r="J19" s="15">
        <f t="shared" si="7"/>
        <v>0.167972093023256</v>
      </c>
    </row>
    <row r="21" spans="1:10" x14ac:dyDescent="0.25">
      <c r="A21" s="1" t="s">
        <v>168</v>
      </c>
      <c r="B21" s="30">
        <f t="shared" ref="B21:J21" si="8">B10+B18</f>
        <v>13292.982</v>
      </c>
      <c r="C21" s="30">
        <f t="shared" si="8"/>
        <v>24903.165999999997</v>
      </c>
      <c r="D21" s="30">
        <f t="shared" si="8"/>
        <v>34474.813999999998</v>
      </c>
      <c r="E21" s="30">
        <f t="shared" si="8"/>
        <v>49288.095000000001</v>
      </c>
      <c r="F21" s="30">
        <f t="shared" si="8"/>
        <v>63488.560717341272</v>
      </c>
      <c r="G21" s="30">
        <f t="shared" si="8"/>
        <v>79321.298896174354</v>
      </c>
      <c r="H21" s="30">
        <f t="shared" si="8"/>
        <v>96649.147380802431</v>
      </c>
      <c r="I21" s="30">
        <f t="shared" si="8"/>
        <v>113951.28892074668</v>
      </c>
      <c r="J21" s="30">
        <f t="shared" si="8"/>
        <v>130928.19766817242</v>
      </c>
    </row>
    <row r="22" spans="1:10" x14ac:dyDescent="0.25">
      <c r="A22" s="27" t="s">
        <v>169</v>
      </c>
      <c r="B22" s="28" t="s">
        <v>155</v>
      </c>
      <c r="C22" s="15">
        <f t="shared" ref="C22:J22" si="9">C21/B21-1</f>
        <v>0.87340703538152664</v>
      </c>
      <c r="D22" s="15">
        <f t="shared" si="9"/>
        <v>0.38435466398127871</v>
      </c>
      <c r="E22" s="15">
        <f t="shared" si="9"/>
        <v>0.42968414564905277</v>
      </c>
      <c r="F22" s="15">
        <f t="shared" si="9"/>
        <v>0.28811147432947593</v>
      </c>
      <c r="G22" s="15">
        <f t="shared" si="9"/>
        <v>0.24937938425352479</v>
      </c>
      <c r="H22" s="15">
        <f t="shared" si="9"/>
        <v>0.2184513961036989</v>
      </c>
      <c r="I22" s="15">
        <f t="shared" si="9"/>
        <v>0.17902011563302223</v>
      </c>
      <c r="J22" s="15">
        <f t="shared" si="9"/>
        <v>0.14898391153112112</v>
      </c>
    </row>
    <row r="24" spans="1:10" x14ac:dyDescent="0.25">
      <c r="A24" s="2" t="s">
        <v>170</v>
      </c>
      <c r="B24" s="13">
        <v>24559</v>
      </c>
      <c r="C24" s="13">
        <v>62438</v>
      </c>
      <c r="D24" s="13">
        <v>77766</v>
      </c>
      <c r="E24" s="13">
        <v>98351</v>
      </c>
      <c r="F24" s="2" t="s">
        <v>171</v>
      </c>
      <c r="G24" s="2" t="s">
        <v>171</v>
      </c>
      <c r="H24" s="2" t="s">
        <v>171</v>
      </c>
      <c r="I24" s="2" t="s">
        <v>171</v>
      </c>
      <c r="J24" s="2" t="s">
        <v>171</v>
      </c>
    </row>
    <row r="26" spans="1:10" ht="18.95" customHeight="1" x14ac:dyDescent="0.25">
      <c r="A26" s="48" t="s">
        <v>172</v>
      </c>
      <c r="B26" s="49"/>
      <c r="C26" s="49"/>
      <c r="D26" s="49"/>
      <c r="E26" s="49"/>
      <c r="F26" s="49"/>
      <c r="G26" s="49"/>
      <c r="H26" s="49"/>
      <c r="I26" s="49"/>
      <c r="J26" s="49"/>
    </row>
    <row r="27" spans="1:10" x14ac:dyDescent="0.25">
      <c r="A27" s="2" t="s">
        <v>173</v>
      </c>
      <c r="B27" s="16">
        <v>-5178.9629999999997</v>
      </c>
      <c r="C27" s="16">
        <v>-10897.409</v>
      </c>
      <c r="D27" s="16">
        <v>-14083.290999999999</v>
      </c>
      <c r="E27" s="16">
        <v>-18783.453000000001</v>
      </c>
      <c r="F27" s="4">
        <f>-F21*Assumptions!$G$40</f>
        <v>-24252.630194024365</v>
      </c>
      <c r="G27" s="4">
        <f>-G21*Assumptions!$G$41</f>
        <v>-30221.414879442429</v>
      </c>
      <c r="H27" s="4">
        <f>-H21*Assumptions!$G$42</f>
        <v>-36726.676004704925</v>
      </c>
      <c r="I27" s="4">
        <f>-I21*Assumptions!$G$43</f>
        <v>-43187.53850096299</v>
      </c>
      <c r="J27" s="4">
        <f>-J21*Assumptions!$G$44</f>
        <v>-49490.858718569172</v>
      </c>
    </row>
    <row r="28" spans="1:10" x14ac:dyDescent="0.25">
      <c r="A28" s="27" t="s">
        <v>83</v>
      </c>
      <c r="B28" s="15">
        <f t="shared" ref="B28:J28" si="10">-B27/B21</f>
        <v>0.38960129487875633</v>
      </c>
      <c r="C28" s="15">
        <f t="shared" si="10"/>
        <v>0.43759130867135532</v>
      </c>
      <c r="D28" s="15">
        <f t="shared" si="10"/>
        <v>0.4085095571509102</v>
      </c>
      <c r="E28" s="15">
        <f t="shared" si="10"/>
        <v>0.38109513057869249</v>
      </c>
      <c r="F28" s="15">
        <f t="shared" si="10"/>
        <v>0.38200000000000001</v>
      </c>
      <c r="G28" s="15">
        <f t="shared" si="10"/>
        <v>0.38100000000000001</v>
      </c>
      <c r="H28" s="15">
        <f t="shared" si="10"/>
        <v>0.38</v>
      </c>
      <c r="I28" s="15">
        <f t="shared" si="10"/>
        <v>0.379</v>
      </c>
      <c r="J28" s="15">
        <f t="shared" si="10"/>
        <v>0.378</v>
      </c>
    </row>
    <row r="29" spans="1:10" x14ac:dyDescent="0.25">
      <c r="A29" s="2" t="s">
        <v>174</v>
      </c>
      <c r="B29" s="16">
        <v>-2829.9870000000001</v>
      </c>
      <c r="C29" s="16">
        <v>-5167.482</v>
      </c>
      <c r="D29" s="16">
        <v>-8540.6830000000009</v>
      </c>
      <c r="E29" s="16">
        <v>-11241.945</v>
      </c>
      <c r="F29" s="4">
        <f>-F21*Assumptions!$G$45</f>
        <v>-14475.391843553811</v>
      </c>
      <c r="G29" s="4">
        <f>-G21*Assumptions!$G$46</f>
        <v>-17847.292251639232</v>
      </c>
      <c r="H29" s="4">
        <f>-H21*Assumptions!$G$47</f>
        <v>-21456.110718538141</v>
      </c>
      <c r="I29" s="4">
        <f>-I21*Assumptions!$G$48</f>
        <v>-25069.283562564269</v>
      </c>
      <c r="J29" s="4">
        <f>-J21*Assumptions!$G$49</f>
        <v>-28542.347091661588</v>
      </c>
    </row>
    <row r="30" spans="1:10" x14ac:dyDescent="0.25">
      <c r="A30" s="27" t="s">
        <v>85</v>
      </c>
      <c r="B30" s="15">
        <f t="shared" ref="B30:J30" si="11">-B29/B21</f>
        <v>0.21289331468289058</v>
      </c>
      <c r="C30" s="15">
        <f t="shared" si="11"/>
        <v>0.20750301387381831</v>
      </c>
      <c r="D30" s="15">
        <f t="shared" si="11"/>
        <v>0.24773688409167346</v>
      </c>
      <c r="E30" s="15">
        <f t="shared" si="11"/>
        <v>0.22808641721697703</v>
      </c>
      <c r="F30" s="15">
        <f t="shared" si="11"/>
        <v>0.22800000000000001</v>
      </c>
      <c r="G30" s="15">
        <f t="shared" si="11"/>
        <v>0.22500000000000003</v>
      </c>
      <c r="H30" s="15">
        <f t="shared" si="11"/>
        <v>0.222</v>
      </c>
      <c r="I30" s="15">
        <f t="shared" si="11"/>
        <v>0.22</v>
      </c>
      <c r="J30" s="15">
        <f t="shared" si="11"/>
        <v>0.218</v>
      </c>
    </row>
    <row r="31" spans="1:10" x14ac:dyDescent="0.25">
      <c r="A31" s="2" t="s">
        <v>175</v>
      </c>
      <c r="B31" s="16">
        <v>-391.93599999999998</v>
      </c>
      <c r="C31" s="16">
        <v>-604.58000000000004</v>
      </c>
      <c r="D31" s="16">
        <v>-1190.037</v>
      </c>
      <c r="E31" s="16">
        <v>-1557.383</v>
      </c>
      <c r="F31" s="4">
        <f>-F21*Assumptions!$G$50</f>
        <v>-2031.6339429549207</v>
      </c>
      <c r="G31" s="4">
        <f>-G21*Assumptions!$G$51</f>
        <v>-2458.9602657814048</v>
      </c>
      <c r="H31" s="4">
        <f>-H21*Assumptions!$G$52</f>
        <v>-2899.4744214240727</v>
      </c>
      <c r="I31" s="4">
        <f>-I21*Assumptions!$G$53</f>
        <v>-3304.587378701654</v>
      </c>
      <c r="J31" s="4">
        <f>-J21*Assumptions!$G$54</f>
        <v>-3665.9895347088277</v>
      </c>
    </row>
    <row r="32" spans="1:10" x14ac:dyDescent="0.25">
      <c r="A32" s="27" t="s">
        <v>86</v>
      </c>
      <c r="B32" s="15">
        <f t="shared" ref="B32:J32" si="12">-B31/B21</f>
        <v>2.9484430205351967E-2</v>
      </c>
      <c r="C32" s="15">
        <f t="shared" si="12"/>
        <v>2.4277234468902471E-2</v>
      </c>
      <c r="D32" s="15">
        <f t="shared" si="12"/>
        <v>3.4519025976470823E-2</v>
      </c>
      <c r="E32" s="15">
        <f t="shared" si="12"/>
        <v>3.1597549063318436E-2</v>
      </c>
      <c r="F32" s="15">
        <f t="shared" si="12"/>
        <v>3.2000000000000001E-2</v>
      </c>
      <c r="G32" s="15">
        <f t="shared" si="12"/>
        <v>3.0999999999999996E-2</v>
      </c>
      <c r="H32" s="15">
        <f t="shared" si="12"/>
        <v>0.03</v>
      </c>
      <c r="I32" s="15">
        <f t="shared" si="12"/>
        <v>2.9000000000000001E-2</v>
      </c>
      <c r="J32" s="15">
        <f t="shared" si="12"/>
        <v>2.8000000000000001E-2</v>
      </c>
    </row>
    <row r="33" spans="1:10" x14ac:dyDescent="0.25">
      <c r="A33" s="2" t="s">
        <v>176</v>
      </c>
      <c r="B33" s="16">
        <v>-1373.2190000000001</v>
      </c>
      <c r="C33" s="16">
        <v>-2010.6990000000001</v>
      </c>
      <c r="D33" s="16">
        <v>-2821.069</v>
      </c>
      <c r="E33" s="16">
        <v>-6878.7340000000004</v>
      </c>
      <c r="F33" s="4">
        <f>-F21*Assumptions!$G$55</f>
        <v>-8888.3985004277783</v>
      </c>
      <c r="G33" s="4">
        <f>-G21*Assumptions!$G$56</f>
        <v>-10946.339247672062</v>
      </c>
      <c r="H33" s="4">
        <f>-H21*Assumptions!$G$57</f>
        <v>-13240.933191169934</v>
      </c>
      <c r="I33" s="4">
        <f>-I21*Assumptions!$G$58</f>
        <v>-15497.37529322155</v>
      </c>
      <c r="J33" s="4">
        <f>-J21*Assumptions!$G$59</f>
        <v>-17675.306685203279</v>
      </c>
    </row>
    <row r="34" spans="1:10" x14ac:dyDescent="0.25">
      <c r="A34" s="27" t="s">
        <v>87</v>
      </c>
      <c r="B34" s="15">
        <f t="shared" ref="B34:J34" si="13">-B33/B21</f>
        <v>0.10330405923968002</v>
      </c>
      <c r="C34" s="15">
        <f t="shared" si="13"/>
        <v>8.0740697789188742E-2</v>
      </c>
      <c r="D34" s="15">
        <f t="shared" si="13"/>
        <v>8.1829854107407229E-2</v>
      </c>
      <c r="E34" s="15">
        <f t="shared" si="13"/>
        <v>0.13956177450153023</v>
      </c>
      <c r="F34" s="15">
        <f t="shared" si="13"/>
        <v>0.14000000000000001</v>
      </c>
      <c r="G34" s="15">
        <f t="shared" si="13"/>
        <v>0.13800000000000001</v>
      </c>
      <c r="H34" s="15">
        <f t="shared" si="13"/>
        <v>0.13700000000000001</v>
      </c>
      <c r="I34" s="15">
        <f t="shared" si="13"/>
        <v>0.13600000000000001</v>
      </c>
      <c r="J34" s="15">
        <f t="shared" si="13"/>
        <v>0.13500000000000001</v>
      </c>
    </row>
    <row r="35" spans="1:10" x14ac:dyDescent="0.25">
      <c r="A35" s="2" t="s">
        <v>177</v>
      </c>
      <c r="B35" s="16">
        <v>-570.12199999999996</v>
      </c>
      <c r="C35" s="16">
        <v>-1286.5229999999999</v>
      </c>
      <c r="D35" s="16">
        <v>-1920.3050000000001</v>
      </c>
      <c r="E35" s="16">
        <v>-2595.7049999999999</v>
      </c>
      <c r="F35" s="4">
        <f>-F21*Assumptions!$G$60</f>
        <v>-3301.4051573017459</v>
      </c>
      <c r="G35" s="4">
        <f>-G21*Assumptions!$G$61</f>
        <v>-4045.386243704892</v>
      </c>
      <c r="H35" s="4">
        <f>-H21*Assumptions!$G$62</f>
        <v>-4832.4573690401221</v>
      </c>
      <c r="I35" s="4">
        <f>-I21*Assumptions!$G$63</f>
        <v>-5583.6131571165879</v>
      </c>
      <c r="J35" s="4">
        <f>-J21*Assumptions!$G$64</f>
        <v>-6284.5534880722762</v>
      </c>
    </row>
    <row r="36" spans="1:10" x14ac:dyDescent="0.25">
      <c r="A36" s="27" t="s">
        <v>88</v>
      </c>
      <c r="B36" s="15">
        <f t="shared" ref="B36:J36" si="14">-B35/B21</f>
        <v>4.2888946964646457E-2</v>
      </c>
      <c r="C36" s="15">
        <f t="shared" si="14"/>
        <v>5.1661021735148055E-2</v>
      </c>
      <c r="D36" s="15">
        <f t="shared" si="14"/>
        <v>5.5701678332477737E-2</v>
      </c>
      <c r="E36" s="15">
        <f t="shared" si="14"/>
        <v>5.2663934363866162E-2</v>
      </c>
      <c r="F36" s="15">
        <f t="shared" si="14"/>
        <v>5.1999999999999998E-2</v>
      </c>
      <c r="G36" s="15">
        <f t="shared" si="14"/>
        <v>5.0999999999999997E-2</v>
      </c>
      <c r="H36" s="15">
        <f t="shared" si="14"/>
        <v>0.05</v>
      </c>
      <c r="I36" s="15">
        <f t="shared" si="14"/>
        <v>4.9000000000000002E-2</v>
      </c>
      <c r="J36" s="15">
        <f t="shared" si="14"/>
        <v>4.8000000000000001E-2</v>
      </c>
    </row>
    <row r="37" spans="1:10" x14ac:dyDescent="0.25">
      <c r="A37" s="2" t="s">
        <v>178</v>
      </c>
      <c r="B37" s="16">
        <v>-1459.55</v>
      </c>
      <c r="C37" s="16">
        <v>-1829.6510000000001</v>
      </c>
      <c r="D37" s="16">
        <v>-2420.462</v>
      </c>
      <c r="E37" s="16">
        <v>-3057.02</v>
      </c>
      <c r="F37" s="4">
        <f>-F21*Assumptions!$G$65</f>
        <v>-3936.290764475159</v>
      </c>
      <c r="G37" s="4">
        <f>-G21*Assumptions!$G$66</f>
        <v>-4759.2779337704615</v>
      </c>
      <c r="H37" s="4">
        <f>-H21*Assumptions!$G$67</f>
        <v>-5509.0014007057389</v>
      </c>
      <c r="I37" s="4">
        <f>-I21*Assumptions!$G$68</f>
        <v>-6495.2234684825607</v>
      </c>
      <c r="J37" s="4">
        <f>-J21*Assumptions!$G$69</f>
        <v>-7201.0508717494831</v>
      </c>
    </row>
    <row r="38" spans="1:10" x14ac:dyDescent="0.25">
      <c r="A38" s="27" t="s">
        <v>89</v>
      </c>
      <c r="B38" s="15">
        <f t="shared" ref="B38:J38" si="15">-B37/B21</f>
        <v>0.10979853880792136</v>
      </c>
      <c r="C38" s="15">
        <f t="shared" si="15"/>
        <v>7.3470618153531175E-2</v>
      </c>
      <c r="D38" s="15">
        <f t="shared" si="15"/>
        <v>7.0209573864560948E-2</v>
      </c>
      <c r="E38" s="15">
        <f t="shared" si="15"/>
        <v>6.202349674906283E-2</v>
      </c>
      <c r="F38" s="15">
        <f t="shared" si="15"/>
        <v>6.2E-2</v>
      </c>
      <c r="G38" s="15">
        <f t="shared" si="15"/>
        <v>6.0000000000000005E-2</v>
      </c>
      <c r="H38" s="15">
        <f t="shared" si="15"/>
        <v>5.7000000000000002E-2</v>
      </c>
      <c r="I38" s="15">
        <f t="shared" si="15"/>
        <v>5.7000000000000002E-2</v>
      </c>
      <c r="J38" s="15">
        <f t="shared" si="15"/>
        <v>5.5E-2</v>
      </c>
    </row>
    <row r="39" spans="1:10" x14ac:dyDescent="0.25">
      <c r="A39" s="2" t="s">
        <v>179</v>
      </c>
      <c r="B39" s="16">
        <v>-333.02600000000001</v>
      </c>
      <c r="C39" s="16">
        <v>-86.399000000000001</v>
      </c>
      <c r="D39" s="16">
        <v>71.102000000000004</v>
      </c>
      <c r="E39" s="16">
        <v>-100.92</v>
      </c>
      <c r="F39" s="4">
        <f>-F21*Assumptions!$G$70</f>
        <v>-253.95424286936509</v>
      </c>
      <c r="G39" s="4">
        <f>-G21*Assumptions!$G$71</f>
        <v>-317.28519558469742</v>
      </c>
      <c r="H39" s="4">
        <f>-H21*Assumptions!$G$72</f>
        <v>-386.59658952320973</v>
      </c>
      <c r="I39" s="4">
        <f>-I21*Assumptions!$G$73</f>
        <v>-341.85386676224005</v>
      </c>
      <c r="J39" s="4">
        <f>-J21*Assumptions!$G$74</f>
        <v>-392.78459300451726</v>
      </c>
    </row>
    <row r="40" spans="1:10" x14ac:dyDescent="0.25">
      <c r="A40" s="27" t="s">
        <v>180</v>
      </c>
      <c r="B40" s="15">
        <f t="shared" ref="B40:J40" si="16">-B39/B21</f>
        <v>2.5052768445785904E-2</v>
      </c>
      <c r="C40" s="15">
        <f t="shared" si="16"/>
        <v>3.4693982283216522E-3</v>
      </c>
      <c r="D40" s="15">
        <f t="shared" si="16"/>
        <v>-2.0624331722282827E-3</v>
      </c>
      <c r="E40" s="15">
        <f t="shared" si="16"/>
        <v>2.0475532681877846E-3</v>
      </c>
      <c r="F40" s="15">
        <f t="shared" si="16"/>
        <v>4.0000000000000001E-3</v>
      </c>
      <c r="G40" s="15">
        <f t="shared" si="16"/>
        <v>4.0000000000000001E-3</v>
      </c>
      <c r="H40" s="15">
        <f t="shared" si="16"/>
        <v>4.0000000000000001E-3</v>
      </c>
      <c r="I40" s="15">
        <f t="shared" si="16"/>
        <v>3.0000000000000001E-3</v>
      </c>
      <c r="J40" s="15">
        <f t="shared" si="16"/>
        <v>3.0000000000000001E-3</v>
      </c>
    </row>
    <row r="42" spans="1:10" x14ac:dyDescent="0.25">
      <c r="A42" s="1" t="s">
        <v>181</v>
      </c>
      <c r="B42" s="30">
        <f t="shared" ref="B42:J42" si="17">SUM(B27,B29,B31,B33,B35,B37,B39)</f>
        <v>-12136.802999999998</v>
      </c>
      <c r="C42" s="30">
        <f t="shared" si="17"/>
        <v>-21882.743000000006</v>
      </c>
      <c r="D42" s="30">
        <f t="shared" si="17"/>
        <v>-30904.745000000003</v>
      </c>
      <c r="E42" s="30">
        <f t="shared" si="17"/>
        <v>-44215.159999999996</v>
      </c>
      <c r="F42" s="30">
        <f t="shared" si="17"/>
        <v>-57139.704645607148</v>
      </c>
      <c r="G42" s="30">
        <f t="shared" si="17"/>
        <v>-70595.956017595177</v>
      </c>
      <c r="H42" s="30">
        <f t="shared" si="17"/>
        <v>-85051.249695106118</v>
      </c>
      <c r="I42" s="30">
        <f t="shared" si="17"/>
        <v>-99479.475227811854</v>
      </c>
      <c r="J42" s="30">
        <f t="shared" si="17"/>
        <v>-113252.89098296914</v>
      </c>
    </row>
    <row r="43" spans="1:10" x14ac:dyDescent="0.25">
      <c r="A43" s="27" t="s">
        <v>182</v>
      </c>
      <c r="B43" s="15">
        <f t="shared" ref="B43:J43" si="18">-B42/B21</f>
        <v>0.91302335322503247</v>
      </c>
      <c r="C43" s="15">
        <f t="shared" si="18"/>
        <v>0.87871329292026601</v>
      </c>
      <c r="D43" s="15">
        <f t="shared" si="18"/>
        <v>0.89644414035127218</v>
      </c>
      <c r="E43" s="15">
        <f t="shared" si="18"/>
        <v>0.89707585574163484</v>
      </c>
      <c r="F43" s="15">
        <f t="shared" si="18"/>
        <v>0.9</v>
      </c>
      <c r="G43" s="15">
        <f t="shared" si="18"/>
        <v>0.89</v>
      </c>
      <c r="H43" s="15">
        <f t="shared" si="18"/>
        <v>0.87999999999999978</v>
      </c>
      <c r="I43" s="15">
        <f t="shared" si="18"/>
        <v>0.873</v>
      </c>
      <c r="J43" s="15">
        <f t="shared" si="18"/>
        <v>0.86499999999999999</v>
      </c>
    </row>
    <row r="45" spans="1:10" x14ac:dyDescent="0.25">
      <c r="A45" s="1" t="s">
        <v>183</v>
      </c>
      <c r="B45" s="30">
        <f t="shared" ref="B45:J45" si="19">B21+B42</f>
        <v>1156.1790000000019</v>
      </c>
      <c r="C45" s="30">
        <f t="shared" si="19"/>
        <v>3020.4229999999916</v>
      </c>
      <c r="D45" s="30">
        <f t="shared" si="19"/>
        <v>3570.0689999999959</v>
      </c>
      <c r="E45" s="30">
        <f t="shared" si="19"/>
        <v>5072.9350000000049</v>
      </c>
      <c r="F45" s="30">
        <f t="shared" si="19"/>
        <v>6348.8560717341243</v>
      </c>
      <c r="G45" s="30">
        <f t="shared" si="19"/>
        <v>8725.3428785791766</v>
      </c>
      <c r="H45" s="30">
        <f t="shared" si="19"/>
        <v>11597.897685696313</v>
      </c>
      <c r="I45" s="30">
        <f t="shared" si="19"/>
        <v>14471.813692934826</v>
      </c>
      <c r="J45" s="30">
        <f t="shared" si="19"/>
        <v>17675.306685203279</v>
      </c>
    </row>
    <row r="46" spans="1:10" x14ac:dyDescent="0.25">
      <c r="A46" s="27" t="s">
        <v>48</v>
      </c>
      <c r="B46" s="15">
        <f t="shared" ref="B46:J46" si="20">B45/B21</f>
        <v>8.6976646774967567E-2</v>
      </c>
      <c r="C46" s="15">
        <f t="shared" si="20"/>
        <v>0.12128670707973403</v>
      </c>
      <c r="D46" s="15">
        <f t="shared" si="20"/>
        <v>0.10355585964872779</v>
      </c>
      <c r="E46" s="15">
        <f t="shared" si="20"/>
        <v>0.10292414425836513</v>
      </c>
      <c r="F46" s="15">
        <f t="shared" si="20"/>
        <v>9.999999999999995E-2</v>
      </c>
      <c r="G46" s="15">
        <f t="shared" si="20"/>
        <v>0.10999999999999997</v>
      </c>
      <c r="H46" s="15">
        <f t="shared" si="20"/>
        <v>0.12000000000000022</v>
      </c>
      <c r="I46" s="15">
        <f t="shared" si="20"/>
        <v>0.12699999999999997</v>
      </c>
      <c r="J46" s="15">
        <f t="shared" si="20"/>
        <v>0.13500000000000001</v>
      </c>
    </row>
    <row r="48" spans="1:10" x14ac:dyDescent="0.25">
      <c r="A48" s="2" t="s">
        <v>184</v>
      </c>
      <c r="B48" s="16">
        <v>-29.428999999999998</v>
      </c>
      <c r="C48" s="16">
        <v>81.741</v>
      </c>
      <c r="D48" s="16">
        <v>156.19300000000001</v>
      </c>
      <c r="E48" s="16">
        <v>207.24</v>
      </c>
      <c r="F48" s="4">
        <f>F21*Assumptions!$G$75</f>
        <v>222.20996251069445</v>
      </c>
      <c r="G48" s="4">
        <f>G21*Assumptions!$G$76</f>
        <v>237.96389668852308</v>
      </c>
      <c r="H48" s="4">
        <f>H21*Assumptions!$G$77</f>
        <v>241.62286845200609</v>
      </c>
      <c r="I48" s="4">
        <f>I21*Assumptions!$G$78</f>
        <v>227.90257784149335</v>
      </c>
      <c r="J48" s="4">
        <f>J21*Assumptions!$G$79</f>
        <v>261.85639533634486</v>
      </c>
    </row>
    <row r="49" spans="1:10" x14ac:dyDescent="0.25">
      <c r="A49" s="1" t="s">
        <v>185</v>
      </c>
      <c r="B49" s="30">
        <f t="shared" ref="B49:J49" si="21">B45+B48</f>
        <v>1126.7500000000018</v>
      </c>
      <c r="C49" s="30">
        <f t="shared" si="21"/>
        <v>3102.1639999999916</v>
      </c>
      <c r="D49" s="30">
        <f t="shared" si="21"/>
        <v>3726.2619999999961</v>
      </c>
      <c r="E49" s="30">
        <f t="shared" si="21"/>
        <v>5280.1750000000047</v>
      </c>
      <c r="F49" s="30">
        <f t="shared" si="21"/>
        <v>6571.0660342448191</v>
      </c>
      <c r="G49" s="30">
        <f t="shared" si="21"/>
        <v>8963.3067752676998</v>
      </c>
      <c r="H49" s="30">
        <f t="shared" si="21"/>
        <v>11839.520554148319</v>
      </c>
      <c r="I49" s="30">
        <f t="shared" si="21"/>
        <v>14699.716270776318</v>
      </c>
      <c r="J49" s="30">
        <f t="shared" si="21"/>
        <v>17937.163080539623</v>
      </c>
    </row>
    <row r="50" spans="1:10" x14ac:dyDescent="0.25">
      <c r="A50" s="2" t="s">
        <v>186</v>
      </c>
      <c r="B50" s="16">
        <v>-638.50400000000002</v>
      </c>
      <c r="C50" s="16">
        <v>-258.12700000000001</v>
      </c>
      <c r="D50" s="16">
        <v>-770.553</v>
      </c>
      <c r="E50" s="16">
        <v>-1679.7929999999999</v>
      </c>
      <c r="F50" s="4">
        <f>-MAX(F49,0)*Assumptions!$G$80</f>
        <v>-1839.8984895885494</v>
      </c>
      <c r="G50" s="4">
        <f>-MAX(G49,0)*Assumptions!$G$81</f>
        <v>-2420.0928293222792</v>
      </c>
      <c r="H50" s="4">
        <f>-MAX(H49,0)*Assumptions!$G$82</f>
        <v>-3078.2753440785632</v>
      </c>
      <c r="I50" s="4">
        <f>-MAX(I49,0)*Assumptions!$G$83</f>
        <v>-3674.9290676940795</v>
      </c>
      <c r="J50" s="4">
        <f>-MAX(J49,0)*Assumptions!$G$84</f>
        <v>-4484.2907701349059</v>
      </c>
    </row>
    <row r="51" spans="1:10" x14ac:dyDescent="0.25">
      <c r="A51" s="27" t="s">
        <v>92</v>
      </c>
      <c r="B51" s="15">
        <f>-B50/B49</f>
        <v>0.56667761260261729</v>
      </c>
      <c r="C51" s="15">
        <f>-C50/C49</f>
        <v>8.3208689160212262E-2</v>
      </c>
      <c r="D51" s="15">
        <f>-D50/D49</f>
        <v>0.20678980705060482</v>
      </c>
      <c r="E51" s="15">
        <f>-E50/E49</f>
        <v>0.31813206948633299</v>
      </c>
      <c r="F51" s="15">
        <f>IFERROR(-F50/F49,0)</f>
        <v>0.28000000000000003</v>
      </c>
      <c r="G51" s="15">
        <f>IFERROR(-G50/G49,0)</f>
        <v>0.27</v>
      </c>
      <c r="H51" s="15">
        <f>IFERROR(-H50/H49,0)</f>
        <v>0.26</v>
      </c>
      <c r="I51" s="15">
        <f>IFERROR(-I50/I49,0)</f>
        <v>0.25</v>
      </c>
      <c r="J51" s="15">
        <f>IFERROR(-J50/J49,0)</f>
        <v>0.25</v>
      </c>
    </row>
    <row r="53" spans="1:10" x14ac:dyDescent="0.25">
      <c r="A53" s="1" t="s">
        <v>187</v>
      </c>
      <c r="B53" s="30">
        <f t="shared" ref="B53:J53" si="22">B49+B50</f>
        <v>488.2460000000018</v>
      </c>
      <c r="C53" s="30">
        <f t="shared" si="22"/>
        <v>2844.0369999999916</v>
      </c>
      <c r="D53" s="30">
        <f t="shared" si="22"/>
        <v>2955.7089999999962</v>
      </c>
      <c r="E53" s="30">
        <f t="shared" si="22"/>
        <v>3600.3820000000051</v>
      </c>
      <c r="F53" s="30">
        <f t="shared" si="22"/>
        <v>4731.1675446562695</v>
      </c>
      <c r="G53" s="30">
        <f t="shared" si="22"/>
        <v>6543.2139459454211</v>
      </c>
      <c r="H53" s="30">
        <f t="shared" si="22"/>
        <v>8761.2452100697556</v>
      </c>
      <c r="I53" s="30">
        <f t="shared" si="22"/>
        <v>11024.787203082238</v>
      </c>
      <c r="J53" s="30">
        <f t="shared" si="22"/>
        <v>13452.872310404717</v>
      </c>
    </row>
    <row r="54" spans="1:10" x14ac:dyDescent="0.25">
      <c r="A54" s="27" t="s">
        <v>188</v>
      </c>
      <c r="B54" s="15">
        <f t="shared" ref="B54:J54" si="23">B53/B21</f>
        <v>3.6729606645070446E-2</v>
      </c>
      <c r="C54" s="15">
        <f t="shared" si="23"/>
        <v>0.11420383255687216</v>
      </c>
      <c r="D54" s="15">
        <f t="shared" si="23"/>
        <v>8.5735313901911012E-2</v>
      </c>
      <c r="E54" s="15">
        <f t="shared" si="23"/>
        <v>7.304770046397624E-2</v>
      </c>
      <c r="F54" s="15">
        <f t="shared" si="23"/>
        <v>7.4519999999999961E-2</v>
      </c>
      <c r="G54" s="15">
        <f t="shared" si="23"/>
        <v>8.248999999999998E-2</v>
      </c>
      <c r="H54" s="15">
        <f t="shared" si="23"/>
        <v>9.0650000000000161E-2</v>
      </c>
      <c r="I54" s="15">
        <f t="shared" si="23"/>
        <v>9.6749999999999975E-2</v>
      </c>
      <c r="J54" s="15">
        <f t="shared" si="23"/>
        <v>0.10275000000000001</v>
      </c>
    </row>
    <row r="55" spans="1:10" x14ac:dyDescent="0.25">
      <c r="A55" s="27" t="s">
        <v>189</v>
      </c>
      <c r="B55" s="28" t="s">
        <v>155</v>
      </c>
      <c r="C55" s="15">
        <f t="shared" ref="C55:J55" si="24">C53/B53-1</f>
        <v>4.8250082949987938</v>
      </c>
      <c r="D55" s="15">
        <f t="shared" si="24"/>
        <v>3.926531194917815E-2</v>
      </c>
      <c r="E55" s="15">
        <f t="shared" si="24"/>
        <v>0.21811111987005805</v>
      </c>
      <c r="F55" s="15">
        <f t="shared" si="24"/>
        <v>0.31407376902124917</v>
      </c>
      <c r="G55" s="15">
        <f t="shared" si="24"/>
        <v>0.38300195124897041</v>
      </c>
      <c r="H55" s="15">
        <f t="shared" si="24"/>
        <v>0.33898192577040276</v>
      </c>
      <c r="I55" s="15">
        <f t="shared" si="24"/>
        <v>0.25835847972967074</v>
      </c>
      <c r="J55" s="15">
        <f t="shared" si="24"/>
        <v>0.22023872775010567</v>
      </c>
    </row>
    <row r="57" spans="1:10" ht="18.95" customHeight="1" x14ac:dyDescent="0.25">
      <c r="A57" s="48" t="s">
        <v>190</v>
      </c>
      <c r="B57" s="49"/>
      <c r="C57" s="49"/>
      <c r="D57" s="49"/>
      <c r="E57" s="49"/>
      <c r="F57" s="49"/>
      <c r="G57" s="49"/>
      <c r="H57" s="49"/>
      <c r="I57" s="49"/>
      <c r="J57" s="49"/>
    </row>
    <row r="58" spans="1:10" x14ac:dyDescent="0.25">
      <c r="A58" s="2" t="s">
        <v>191</v>
      </c>
      <c r="B58" s="31">
        <f t="shared" ref="B58:J58" si="25">B10+B18-B21</f>
        <v>0</v>
      </c>
      <c r="C58" s="31">
        <f t="shared" si="25"/>
        <v>0</v>
      </c>
      <c r="D58" s="31">
        <f t="shared" si="25"/>
        <v>0</v>
      </c>
      <c r="E58" s="31">
        <f t="shared" si="25"/>
        <v>0</v>
      </c>
      <c r="F58" s="31">
        <f t="shared" si="25"/>
        <v>0</v>
      </c>
      <c r="G58" s="31">
        <f t="shared" si="25"/>
        <v>0</v>
      </c>
      <c r="H58" s="31">
        <f t="shared" si="25"/>
        <v>0</v>
      </c>
      <c r="I58" s="31">
        <f t="shared" si="25"/>
        <v>0</v>
      </c>
      <c r="J58" s="31">
        <f t="shared" si="25"/>
        <v>0</v>
      </c>
    </row>
    <row r="59" spans="1:10" x14ac:dyDescent="0.25">
      <c r="A59" s="2" t="s">
        <v>192</v>
      </c>
      <c r="B59" s="31">
        <f t="shared" ref="B59:J59" si="26">B21+B42-B45</f>
        <v>0</v>
      </c>
      <c r="C59" s="31">
        <f t="shared" si="26"/>
        <v>0</v>
      </c>
      <c r="D59" s="31">
        <f t="shared" si="26"/>
        <v>0</v>
      </c>
      <c r="E59" s="31">
        <f t="shared" si="26"/>
        <v>0</v>
      </c>
      <c r="F59" s="31">
        <f t="shared" si="26"/>
        <v>0</v>
      </c>
      <c r="G59" s="31">
        <f t="shared" si="26"/>
        <v>0</v>
      </c>
      <c r="H59" s="31">
        <f t="shared" si="26"/>
        <v>0</v>
      </c>
      <c r="I59" s="31">
        <f t="shared" si="26"/>
        <v>0</v>
      </c>
      <c r="J59" s="31">
        <f t="shared" si="26"/>
        <v>0</v>
      </c>
    </row>
  </sheetData>
  <mergeCells count="3">
    <mergeCell ref="A57:J57"/>
    <mergeCell ref="A1:J1"/>
    <mergeCell ref="A26:J26"/>
  </mergeCells>
  <pageMargins left="0.75" right="0.75" top="1" bottom="1" header="0.5" footer="0.5"/>
  <pageSetup fitToHeight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0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" customWidth="1"/>
    <col min="2" max="10" width="14" customWidth="1"/>
  </cols>
  <sheetData>
    <row r="1" spans="1:10" ht="18" x14ac:dyDescent="0.25">
      <c r="A1" s="50" t="s">
        <v>193</v>
      </c>
      <c r="B1" s="47"/>
      <c r="C1" s="47"/>
      <c r="D1" s="47"/>
      <c r="E1" s="47"/>
      <c r="F1" s="47"/>
      <c r="G1" s="47"/>
      <c r="H1" s="47"/>
      <c r="I1" s="47"/>
      <c r="J1" s="47"/>
    </row>
    <row r="4" spans="1:10" ht="30" customHeight="1" x14ac:dyDescent="0.25">
      <c r="A4" s="10" t="s">
        <v>194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72</v>
      </c>
      <c r="G4" s="10" t="s">
        <v>76</v>
      </c>
      <c r="H4" s="10" t="s">
        <v>77</v>
      </c>
      <c r="I4" s="10" t="s">
        <v>78</v>
      </c>
      <c r="J4" s="10" t="s">
        <v>79</v>
      </c>
    </row>
    <row r="5" spans="1:10" x14ac:dyDescent="0.25">
      <c r="A5" s="2" t="s">
        <v>195</v>
      </c>
      <c r="B5" s="16">
        <v>3577.9189999999999</v>
      </c>
      <c r="C5" s="16">
        <v>3038.643</v>
      </c>
      <c r="D5" s="16">
        <v>4406.6850000000004</v>
      </c>
      <c r="E5" s="16">
        <v>2356.933</v>
      </c>
      <c r="F5" s="17">
        <f>F38+F42+F44-SUM(F8,F11,F14,F17,F20)</f>
        <v>5295.3937084469799</v>
      </c>
      <c r="G5" s="17">
        <f>G38+G42+G44-SUM(G8,G11,G14,G17,G20)</f>
        <v>8812.8209742131949</v>
      </c>
      <c r="H5" s="17">
        <f>H38+H42+H44-SUM(H8,H11,H14,H17,H20)</f>
        <v>14476.249346865661</v>
      </c>
      <c r="I5" s="17">
        <f>I38+I42+I44-SUM(I8,I11,I14,I17,I20)</f>
        <v>22554.937238727369</v>
      </c>
      <c r="J5" s="17">
        <f>J38+J42+J44-SUM(J8,J11,J14,J17,J20)</f>
        <v>33148.741804123383</v>
      </c>
    </row>
    <row r="6" spans="1:10" x14ac:dyDescent="0.25">
      <c r="A6" s="27" t="s">
        <v>196</v>
      </c>
      <c r="B6" s="28" t="s">
        <v>155</v>
      </c>
      <c r="C6" s="15">
        <f t="shared" ref="C6:J6" si="0">C5/B5-1</f>
        <v>-0.15072336740993852</v>
      </c>
      <c r="D6" s="15">
        <f t="shared" si="0"/>
        <v>0.45021478337534226</v>
      </c>
      <c r="E6" s="15">
        <f t="shared" si="0"/>
        <v>-0.46514602246359793</v>
      </c>
      <c r="F6" s="15">
        <f t="shared" si="0"/>
        <v>1.246730691303902</v>
      </c>
      <c r="G6" s="15">
        <f t="shared" si="0"/>
        <v>0.66424282299451498</v>
      </c>
      <c r="H6" s="15">
        <f t="shared" si="0"/>
        <v>0.64263513229463909</v>
      </c>
      <c r="I6" s="15">
        <f t="shared" si="0"/>
        <v>0.55806498619139022</v>
      </c>
      <c r="J6" s="15">
        <f t="shared" si="0"/>
        <v>0.46968894008741446</v>
      </c>
    </row>
    <row r="8" spans="1:10" x14ac:dyDescent="0.25">
      <c r="A8" s="2" t="s">
        <v>197</v>
      </c>
      <c r="B8" s="16">
        <v>0</v>
      </c>
      <c r="C8" s="16">
        <v>714.01900000000001</v>
      </c>
      <c r="D8" s="16">
        <v>1527.5409999999999</v>
      </c>
      <c r="E8" s="16">
        <v>6607.4229999999998</v>
      </c>
      <c r="F8" s="4">
        <f>IS!F21*Assumptions!$G$85</f>
        <v>6348.8560717341279</v>
      </c>
      <c r="G8" s="4">
        <f>IS!G21*Assumptions!$G$86</f>
        <v>7138.9169006556913</v>
      </c>
      <c r="H8" s="4">
        <f>IS!H21*Assumptions!$G$87</f>
        <v>7731.9317904641948</v>
      </c>
      <c r="I8" s="4">
        <f>IS!I21*Assumptions!$G$88</f>
        <v>7976.5902244522686</v>
      </c>
      <c r="J8" s="4">
        <f>IS!J21*Assumptions!$G$89</f>
        <v>7855.6918600903446</v>
      </c>
    </row>
    <row r="9" spans="1:10" x14ac:dyDescent="0.25">
      <c r="A9" s="27" t="s">
        <v>93</v>
      </c>
      <c r="B9" s="11">
        <f>B8/IS!B21</f>
        <v>0</v>
      </c>
      <c r="C9" s="11">
        <f>C8/IS!C21</f>
        <v>2.8671816266253057E-2</v>
      </c>
      <c r="D9" s="11">
        <f>D8/IS!D21</f>
        <v>4.430889750413157E-2</v>
      </c>
      <c r="E9" s="11">
        <f>E8/IS!E21</f>
        <v>0.13405717952783527</v>
      </c>
      <c r="F9" s="11">
        <f>F8/IS!F21</f>
        <v>0.1</v>
      </c>
      <c r="G9" s="11">
        <f>G8/IS!G21</f>
        <v>0.09</v>
      </c>
      <c r="H9" s="11">
        <f>H8/IS!H21</f>
        <v>0.08</v>
      </c>
      <c r="I9" s="11">
        <f>I8/IS!I21</f>
        <v>7.0000000000000007E-2</v>
      </c>
      <c r="J9" s="11">
        <f>J8/IS!J21</f>
        <v>0.06</v>
      </c>
    </row>
    <row r="11" spans="1:10" x14ac:dyDescent="0.25">
      <c r="A11" s="2" t="s">
        <v>198</v>
      </c>
      <c r="B11" s="16">
        <v>2494.89</v>
      </c>
      <c r="C11" s="16">
        <v>4043.7460000000001</v>
      </c>
      <c r="D11" s="16">
        <v>4987.9679999999998</v>
      </c>
      <c r="E11" s="16">
        <v>6224.05</v>
      </c>
      <c r="F11" s="4">
        <f>IS!F21*Assumptions!$G$90</f>
        <v>7936.070089667659</v>
      </c>
      <c r="G11" s="4">
        <f>IS!G21*Assumptions!$G$91</f>
        <v>9677.1984653332711</v>
      </c>
      <c r="H11" s="4">
        <f>IS!H21*Assumptions!$G$92</f>
        <v>11597.897685696291</v>
      </c>
      <c r="I11" s="4">
        <f>IS!I21*Assumptions!$G$93</f>
        <v>13446.252092648108</v>
      </c>
      <c r="J11" s="4">
        <f>IS!J21*Assumptions!$G$94</f>
        <v>15056.74273183983</v>
      </c>
    </row>
    <row r="12" spans="1:10" x14ac:dyDescent="0.25">
      <c r="A12" s="27" t="s">
        <v>94</v>
      </c>
      <c r="B12" s="11">
        <f>B11/IS!B21</f>
        <v>0.18768474974238286</v>
      </c>
      <c r="C12" s="11">
        <f>C11/IS!C21</f>
        <v>0.16237879151590606</v>
      </c>
      <c r="D12" s="11">
        <f>D11/IS!D21</f>
        <v>0.14468440641913252</v>
      </c>
      <c r="E12" s="11">
        <f>E11/IS!E21</f>
        <v>0.12627897264035057</v>
      </c>
      <c r="F12" s="11">
        <f>F11/IS!F21</f>
        <v>0.125</v>
      </c>
      <c r="G12" s="11">
        <f>G11/IS!G21</f>
        <v>0.122</v>
      </c>
      <c r="H12" s="11">
        <f>H11/IS!H21</f>
        <v>0.12</v>
      </c>
      <c r="I12" s="11">
        <f>I11/IS!I21</f>
        <v>0.11800000000000001</v>
      </c>
      <c r="J12" s="11">
        <f>J11/IS!J21</f>
        <v>0.115</v>
      </c>
    </row>
    <row r="14" spans="1:10" x14ac:dyDescent="0.25">
      <c r="A14" s="2" t="s">
        <v>199</v>
      </c>
      <c r="B14" s="16">
        <v>1867.3779999999999</v>
      </c>
      <c r="C14" s="16">
        <v>4169.1409999999996</v>
      </c>
      <c r="D14" s="16">
        <v>5065.9030000000002</v>
      </c>
      <c r="E14" s="16">
        <v>6289.9859999999999</v>
      </c>
      <c r="F14" s="4">
        <f>E14-CF!F12+IS!F31</f>
        <v>7940.6885786508738</v>
      </c>
      <c r="G14" s="4">
        <f>F14-CF!G12+IS!G31</f>
        <v>9844.3997521590591</v>
      </c>
      <c r="H14" s="4">
        <f>G14-CF!H12+IS!H31</f>
        <v>11970.680994536711</v>
      </c>
      <c r="I14" s="4">
        <f>H14-CF!I12+IS!I31</f>
        <v>14363.658061872393</v>
      </c>
      <c r="J14" s="4">
        <f>I14-CF!J12+IS!J31</f>
        <v>16982.222015235842</v>
      </c>
    </row>
    <row r="15" spans="1:10" x14ac:dyDescent="0.25">
      <c r="A15" s="27" t="s">
        <v>200</v>
      </c>
      <c r="B15" s="11">
        <f>B14/IS!B21</f>
        <v>0.14047848706934229</v>
      </c>
      <c r="C15" s="11">
        <f>C14/IS!C21</f>
        <v>0.16741409505923865</v>
      </c>
      <c r="D15" s="11">
        <f>D14/IS!D21</f>
        <v>0.14694504225606556</v>
      </c>
      <c r="E15" s="11">
        <f>E14/IS!E21</f>
        <v>0.12761673990443331</v>
      </c>
      <c r="F15" s="11">
        <f>F14/IS!F21</f>
        <v>0.12507274521474471</v>
      </c>
      <c r="G15" s="11">
        <f>G14/IS!G21</f>
        <v>0.12410789900256981</v>
      </c>
      <c r="H15" s="11">
        <f>H14/IS!H21</f>
        <v>0.12385707809062851</v>
      </c>
      <c r="I15" s="11">
        <f>I14/IS!I21</f>
        <v>0.12605086083635564</v>
      </c>
      <c r="J15" s="11">
        <f>J14/IS!J21</f>
        <v>0.12970637584331524</v>
      </c>
    </row>
    <row r="17" spans="1:10" x14ac:dyDescent="0.25">
      <c r="A17" s="2" t="s">
        <v>201</v>
      </c>
      <c r="B17" s="16">
        <v>2003.9970000000001</v>
      </c>
      <c r="C17" s="16">
        <v>5186.8549999999996</v>
      </c>
      <c r="D17" s="16">
        <v>5937.0630000000001</v>
      </c>
      <c r="E17" s="16">
        <v>7637.32</v>
      </c>
      <c r="F17" s="4">
        <f>IS!F21*Assumptions!$G$95</f>
        <v>9713.7497897532139</v>
      </c>
      <c r="G17" s="4">
        <f>IS!G21*Assumptions!$G$96</f>
        <v>11898.194834426153</v>
      </c>
      <c r="H17" s="4">
        <f>IS!H21*Assumptions!$G$97</f>
        <v>14207.424664977956</v>
      </c>
      <c r="I17" s="4">
        <f>IS!I21*Assumptions!$G$98</f>
        <v>16522.936893508268</v>
      </c>
      <c r="J17" s="4">
        <f>IS!J21*Assumptions!$G$99</f>
        <v>18722.732266548654</v>
      </c>
    </row>
    <row r="18" spans="1:10" x14ac:dyDescent="0.25">
      <c r="A18" s="27" t="s">
        <v>95</v>
      </c>
      <c r="B18" s="11">
        <f>B17/IS!B21</f>
        <v>0.1507560154674098</v>
      </c>
      <c r="C18" s="11">
        <f>C17/IS!C21</f>
        <v>0.20828094708921749</v>
      </c>
      <c r="D18" s="11">
        <f>D17/IS!D21</f>
        <v>0.172214504188478</v>
      </c>
      <c r="E18" s="11">
        <f>E17/IS!E21</f>
        <v>0.15495263105624188</v>
      </c>
      <c r="F18" s="11">
        <f>F17/IS!F21</f>
        <v>0.153</v>
      </c>
      <c r="G18" s="11">
        <f>G17/IS!G21</f>
        <v>0.15</v>
      </c>
      <c r="H18" s="11">
        <f>H17/IS!H21</f>
        <v>0.14699999999999999</v>
      </c>
      <c r="I18" s="11">
        <f>I17/IS!I21</f>
        <v>0.14499999999999999</v>
      </c>
      <c r="J18" s="11">
        <f>J17/IS!J21</f>
        <v>0.14299999999999999</v>
      </c>
    </row>
    <row r="20" spans="1:10" x14ac:dyDescent="0.25">
      <c r="A20" s="2" t="s">
        <v>202</v>
      </c>
      <c r="B20" s="16">
        <v>536.21299999999997</v>
      </c>
      <c r="C20" s="16">
        <v>1139.5740000000001</v>
      </c>
      <c r="D20" s="16">
        <v>1200.7660000000001</v>
      </c>
      <c r="E20" s="16">
        <v>1185.8720000000001</v>
      </c>
      <c r="F20" s="4">
        <f>IS!F21*Assumptions!$G$100</f>
        <v>1460.2368964988493</v>
      </c>
      <c r="G20" s="4">
        <f>IS!G21*Assumptions!$G$101</f>
        <v>1745.0685757158358</v>
      </c>
      <c r="H20" s="4">
        <f>IS!H21*Assumptions!$G$102</f>
        <v>2029.6320949968513</v>
      </c>
      <c r="I20" s="4">
        <f>IS!I21*Assumptions!$G$103</f>
        <v>2279.0257784149335</v>
      </c>
      <c r="J20" s="4">
        <f>IS!J21*Assumptions!$G$104</f>
        <v>2618.5639533634485</v>
      </c>
    </row>
    <row r="21" spans="1:10" x14ac:dyDescent="0.25">
      <c r="A21" s="27" t="s">
        <v>96</v>
      </c>
      <c r="B21" s="11">
        <f>B20/IS!B21</f>
        <v>4.0338052063863469E-2</v>
      </c>
      <c r="C21" s="11">
        <f>C20/IS!C21</f>
        <v>4.5760205750545943E-2</v>
      </c>
      <c r="D21" s="11">
        <f>D20/IS!D21</f>
        <v>3.4830238678009988E-2</v>
      </c>
      <c r="E21" s="11">
        <f>E20/IS!E21</f>
        <v>2.4060008811458426E-2</v>
      </c>
      <c r="F21" s="11">
        <f>F20/IS!F21</f>
        <v>2.3E-2</v>
      </c>
      <c r="G21" s="11">
        <f>G20/IS!G21</f>
        <v>2.1999999999999999E-2</v>
      </c>
      <c r="H21" s="11">
        <f>H20/IS!H21</f>
        <v>2.1000000000000001E-2</v>
      </c>
      <c r="I21" s="11">
        <f>I20/IS!I21</f>
        <v>0.02</v>
      </c>
      <c r="J21" s="11">
        <f>J20/IS!J21</f>
        <v>0.02</v>
      </c>
    </row>
    <row r="23" spans="1:10" x14ac:dyDescent="0.25">
      <c r="A23" s="1" t="s">
        <v>203</v>
      </c>
      <c r="B23" s="30">
        <f t="shared" ref="B23:J23" si="1">SUM(B5,B8,B11,B14,B17,B20)</f>
        <v>10480.396999999999</v>
      </c>
      <c r="C23" s="30">
        <f t="shared" si="1"/>
        <v>18291.977999999999</v>
      </c>
      <c r="D23" s="30">
        <f t="shared" si="1"/>
        <v>23125.925999999999</v>
      </c>
      <c r="E23" s="30">
        <f t="shared" si="1"/>
        <v>30301.583999999999</v>
      </c>
      <c r="F23" s="30">
        <f t="shared" si="1"/>
        <v>38694.995134751705</v>
      </c>
      <c r="G23" s="30">
        <f t="shared" si="1"/>
        <v>49116.599502503203</v>
      </c>
      <c r="H23" s="30">
        <f t="shared" si="1"/>
        <v>62013.816577537669</v>
      </c>
      <c r="I23" s="30">
        <f t="shared" si="1"/>
        <v>77143.400289623343</v>
      </c>
      <c r="J23" s="30">
        <f t="shared" si="1"/>
        <v>94384.694631201521</v>
      </c>
    </row>
    <row r="24" spans="1:10" x14ac:dyDescent="0.25">
      <c r="A24" s="27" t="s">
        <v>204</v>
      </c>
      <c r="B24" s="28" t="s">
        <v>155</v>
      </c>
      <c r="C24" s="15">
        <f t="shared" ref="C24:J24" si="2">C23/B23-1</f>
        <v>0.74535163124068693</v>
      </c>
      <c r="D24" s="15">
        <f t="shared" si="2"/>
        <v>0.26426600775487485</v>
      </c>
      <c r="E24" s="15">
        <f t="shared" si="2"/>
        <v>0.3102862994545601</v>
      </c>
      <c r="F24" s="15">
        <f t="shared" si="2"/>
        <v>0.27699578790177126</v>
      </c>
      <c r="G24" s="15">
        <f t="shared" si="2"/>
        <v>0.26932693314624379</v>
      </c>
      <c r="H24" s="15">
        <f t="shared" si="2"/>
        <v>0.26258367243801484</v>
      </c>
      <c r="I24" s="15">
        <f t="shared" si="2"/>
        <v>0.24397117524880474</v>
      </c>
      <c r="J24" s="15">
        <f t="shared" si="2"/>
        <v>0.22349668638987019</v>
      </c>
    </row>
    <row r="26" spans="1:10" ht="18.95" customHeight="1" x14ac:dyDescent="0.25">
      <c r="A26" s="48" t="s">
        <v>205</v>
      </c>
      <c r="B26" s="49"/>
      <c r="C26" s="49"/>
      <c r="D26" s="49"/>
      <c r="E26" s="49"/>
      <c r="F26" s="49"/>
      <c r="G26" s="49"/>
      <c r="H26" s="49"/>
      <c r="I26" s="49"/>
      <c r="J26" s="49"/>
    </row>
    <row r="27" spans="1:10" x14ac:dyDescent="0.25">
      <c r="A27" s="2" t="s">
        <v>206</v>
      </c>
      <c r="B27" s="16">
        <v>1947.963</v>
      </c>
      <c r="C27" s="16">
        <v>3611.3679999999999</v>
      </c>
      <c r="D27" s="16">
        <v>4045.69</v>
      </c>
      <c r="E27" s="16">
        <v>5558.2669999999998</v>
      </c>
      <c r="F27" s="4">
        <f>IS!F21*Assumptions!$G$105</f>
        <v>7110.7188003422225</v>
      </c>
      <c r="G27" s="4">
        <f>IS!G21*Assumptions!$G$106</f>
        <v>8804.6641774753534</v>
      </c>
      <c r="H27" s="4">
        <f>IS!H21*Assumptions!$G$107</f>
        <v>10631.406211888267</v>
      </c>
      <c r="I27" s="4">
        <f>IS!I21*Assumptions!$G$108</f>
        <v>12420.690492361387</v>
      </c>
      <c r="J27" s="4">
        <f>IS!J21*Assumptions!$G$109</f>
        <v>14140.245348162622</v>
      </c>
    </row>
    <row r="28" spans="1:10" x14ac:dyDescent="0.25">
      <c r="A28" s="27" t="s">
        <v>97</v>
      </c>
      <c r="B28" s="11">
        <f>B27/IS!B21</f>
        <v>0.14654070847308753</v>
      </c>
      <c r="C28" s="11">
        <f>C27/IS!C21</f>
        <v>0.14501642080368418</v>
      </c>
      <c r="D28" s="11">
        <f>D27/IS!D21</f>
        <v>0.11735204720756434</v>
      </c>
      <c r="E28" s="11">
        <f>E27/IS!E21</f>
        <v>0.11277098455519532</v>
      </c>
      <c r="F28" s="11">
        <f>F27/IS!F21</f>
        <v>0.112</v>
      </c>
      <c r="G28" s="11">
        <f>G27/IS!G21</f>
        <v>0.111</v>
      </c>
      <c r="H28" s="11">
        <f>H27/IS!H21</f>
        <v>0.10999999999999999</v>
      </c>
      <c r="I28" s="11">
        <f>I27/IS!I21</f>
        <v>0.109</v>
      </c>
      <c r="J28" s="11">
        <f>J27/IS!J21</f>
        <v>0.108</v>
      </c>
    </row>
    <row r="30" spans="1:10" x14ac:dyDescent="0.25">
      <c r="A30" s="2" t="s">
        <v>207</v>
      </c>
      <c r="B30" s="16">
        <v>1905.1469999999999</v>
      </c>
      <c r="C30" s="16">
        <v>4966.165</v>
      </c>
      <c r="D30" s="16">
        <v>5673.9160000000002</v>
      </c>
      <c r="E30" s="16">
        <v>7264.1610000000001</v>
      </c>
      <c r="F30" s="4">
        <f>IS!F21*Assumptions!$G$110</f>
        <v>9269.3298647318243</v>
      </c>
      <c r="G30" s="4">
        <f>IS!G21*Assumptions!$G$111</f>
        <v>11342.945742152931</v>
      </c>
      <c r="H30" s="4">
        <f>IS!H21*Assumptions!$G$112</f>
        <v>13530.880633312341</v>
      </c>
      <c r="I30" s="4">
        <f>IS!I21*Assumptions!$G$113</f>
        <v>15725.277871063043</v>
      </c>
      <c r="J30" s="4">
        <f>IS!J21*Assumptions!$G$114</f>
        <v>17675.306685203279</v>
      </c>
    </row>
    <row r="31" spans="1:10" x14ac:dyDescent="0.25">
      <c r="A31" s="27" t="s">
        <v>98</v>
      </c>
      <c r="B31" s="11">
        <f>B30/IS!B21</f>
        <v>0.14331976075796987</v>
      </c>
      <c r="C31" s="11">
        <f>C30/IS!C21</f>
        <v>0.19941902166174374</v>
      </c>
      <c r="D31" s="11">
        <f>D30/IS!D21</f>
        <v>0.16458148258609895</v>
      </c>
      <c r="E31" s="11">
        <f>E30/IS!E21</f>
        <v>0.14738165473832981</v>
      </c>
      <c r="F31" s="11">
        <f>F30/IS!F21</f>
        <v>0.14599999999999999</v>
      </c>
      <c r="G31" s="11">
        <f>G30/IS!G21</f>
        <v>0.14299999999999999</v>
      </c>
      <c r="H31" s="11">
        <f>H30/IS!H21</f>
        <v>0.14000000000000001</v>
      </c>
      <c r="I31" s="11">
        <f>I30/IS!I21</f>
        <v>0.13800000000000001</v>
      </c>
      <c r="J31" s="11">
        <f>J30/IS!J21</f>
        <v>0.13500000000000001</v>
      </c>
    </row>
    <row r="33" spans="1:10" x14ac:dyDescent="0.25">
      <c r="A33" s="2" t="s">
        <v>208</v>
      </c>
      <c r="B33" s="16">
        <v>0</v>
      </c>
      <c r="C33" s="16">
        <v>0</v>
      </c>
      <c r="D33" s="16">
        <v>333.6</v>
      </c>
      <c r="E33" s="16">
        <v>0</v>
      </c>
      <c r="F33" s="4">
        <f>Assumptions!$G$145</f>
        <v>0</v>
      </c>
      <c r="G33" s="4">
        <f>Assumptions!$G$145</f>
        <v>0</v>
      </c>
      <c r="H33" s="4">
        <f>Assumptions!$G$145</f>
        <v>0</v>
      </c>
      <c r="I33" s="4">
        <f>Assumptions!$G$145</f>
        <v>0</v>
      </c>
      <c r="J33" s="4">
        <f>Assumptions!$G$145</f>
        <v>0</v>
      </c>
    </row>
    <row r="35" spans="1:10" x14ac:dyDescent="0.25">
      <c r="A35" s="2" t="s">
        <v>209</v>
      </c>
      <c r="B35" s="16">
        <v>0</v>
      </c>
      <c r="C35" s="16">
        <v>0</v>
      </c>
      <c r="D35" s="16">
        <v>0</v>
      </c>
      <c r="E35" s="16">
        <v>339.79700000000003</v>
      </c>
      <c r="F35" s="4">
        <f>IS!F21*Assumptions!$G$115</f>
        <v>444.41992502138891</v>
      </c>
      <c r="G35" s="4">
        <f>IS!G21*Assumptions!$G$116</f>
        <v>555.24909227322053</v>
      </c>
      <c r="H35" s="4">
        <f>IS!H21*Assumptions!$G$117</f>
        <v>676.54403166561701</v>
      </c>
      <c r="I35" s="4">
        <f>IS!I21*Assumptions!$G$118</f>
        <v>797.65902244522681</v>
      </c>
      <c r="J35" s="4">
        <f>IS!J21*Assumptions!$G$119</f>
        <v>916.49738367720693</v>
      </c>
    </row>
    <row r="36" spans="1:10" x14ac:dyDescent="0.25">
      <c r="A36" s="27" t="s">
        <v>99</v>
      </c>
      <c r="B36" s="11">
        <f>B35/IS!B21</f>
        <v>0</v>
      </c>
      <c r="C36" s="11">
        <f>C35/IS!C21</f>
        <v>0</v>
      </c>
      <c r="D36" s="11">
        <f>D35/IS!D21</f>
        <v>0</v>
      </c>
      <c r="E36" s="11">
        <f>E35/IS!E21</f>
        <v>6.8940988691082502E-3</v>
      </c>
      <c r="F36" s="11">
        <f>F35/IS!F21</f>
        <v>7.0000000000000001E-3</v>
      </c>
      <c r="G36" s="11">
        <f>G35/IS!G21</f>
        <v>7.000000000000001E-3</v>
      </c>
      <c r="H36" s="11">
        <f>H35/IS!H21</f>
        <v>7.0000000000000001E-3</v>
      </c>
      <c r="I36" s="11">
        <f>I35/IS!I21</f>
        <v>7.0000000000000001E-3</v>
      </c>
      <c r="J36" s="11">
        <f>J35/IS!J21</f>
        <v>7.0000000000000001E-3</v>
      </c>
    </row>
    <row r="38" spans="1:10" x14ac:dyDescent="0.25">
      <c r="A38" s="1" t="s">
        <v>210</v>
      </c>
      <c r="B38" s="30">
        <f t="shared" ref="B38:J38" si="3">SUM(B27,B30,B33,B35)</f>
        <v>3853.1099999999997</v>
      </c>
      <c r="C38" s="30">
        <f t="shared" si="3"/>
        <v>8577.5329999999994</v>
      </c>
      <c r="D38" s="30">
        <f t="shared" si="3"/>
        <v>10053.206</v>
      </c>
      <c r="E38" s="30">
        <f t="shared" si="3"/>
        <v>13162.225</v>
      </c>
      <c r="F38" s="30">
        <f t="shared" si="3"/>
        <v>16824.468590095436</v>
      </c>
      <c r="G38" s="30">
        <f t="shared" si="3"/>
        <v>20702.859011901506</v>
      </c>
      <c r="H38" s="30">
        <f t="shared" si="3"/>
        <v>24838.830876866225</v>
      </c>
      <c r="I38" s="30">
        <f t="shared" si="3"/>
        <v>28943.627385869655</v>
      </c>
      <c r="J38" s="30">
        <f t="shared" si="3"/>
        <v>32732.049417043108</v>
      </c>
    </row>
    <row r="39" spans="1:10" x14ac:dyDescent="0.25">
      <c r="A39" s="27" t="s">
        <v>211</v>
      </c>
      <c r="B39" s="28" t="s">
        <v>155</v>
      </c>
      <c r="C39" s="15">
        <f t="shared" ref="C39:J39" si="4">C38/B38-1</f>
        <v>1.2261323969468818</v>
      </c>
      <c r="D39" s="15">
        <f t="shared" si="4"/>
        <v>0.17203932645901809</v>
      </c>
      <c r="E39" s="15">
        <f t="shared" si="4"/>
        <v>0.30925647002558199</v>
      </c>
      <c r="F39" s="15">
        <f t="shared" si="4"/>
        <v>0.27823894441064745</v>
      </c>
      <c r="G39" s="15">
        <f t="shared" si="4"/>
        <v>0.23052082751007541</v>
      </c>
      <c r="H39" s="15">
        <f t="shared" si="4"/>
        <v>0.19977781148908291</v>
      </c>
      <c r="I39" s="15">
        <f t="shared" si="4"/>
        <v>0.16525723490578836</v>
      </c>
      <c r="J39" s="15">
        <f t="shared" si="4"/>
        <v>0.13088967670385943</v>
      </c>
    </row>
    <row r="41" spans="1:10" ht="18.95" customHeight="1" x14ac:dyDescent="0.25">
      <c r="A41" s="48" t="s">
        <v>212</v>
      </c>
      <c r="B41" s="49"/>
      <c r="C41" s="49"/>
      <c r="D41" s="49"/>
      <c r="E41" s="49"/>
      <c r="F41" s="49"/>
      <c r="G41" s="49"/>
      <c r="H41" s="49"/>
      <c r="I41" s="49"/>
      <c r="J41" s="49"/>
    </row>
    <row r="42" spans="1:10" x14ac:dyDescent="0.25">
      <c r="A42" s="2" t="s">
        <v>137</v>
      </c>
      <c r="B42" s="16">
        <v>1578.04</v>
      </c>
      <c r="C42" s="16">
        <v>1578.04</v>
      </c>
      <c r="D42" s="16">
        <v>1514.66</v>
      </c>
      <c r="E42" s="16">
        <v>1514.66</v>
      </c>
      <c r="F42" s="17">
        <f>E42</f>
        <v>1514.66</v>
      </c>
      <c r="G42" s="17">
        <f>F42</f>
        <v>1514.66</v>
      </c>
      <c r="H42" s="17">
        <f>G42</f>
        <v>1514.66</v>
      </c>
      <c r="I42" s="17">
        <f>H42</f>
        <v>1514.66</v>
      </c>
      <c r="J42" s="17">
        <f>I42</f>
        <v>1514.66</v>
      </c>
    </row>
    <row r="44" spans="1:10" x14ac:dyDescent="0.25">
      <c r="A44" s="1" t="s">
        <v>213</v>
      </c>
      <c r="B44" s="16">
        <v>5049.2470000000003</v>
      </c>
      <c r="C44" s="16">
        <v>8136.4049999999997</v>
      </c>
      <c r="D44" s="16">
        <v>11558.06</v>
      </c>
      <c r="E44" s="16">
        <v>15624.699000000001</v>
      </c>
      <c r="F44" s="32">
        <f>E44+IS!F53</f>
        <v>20355.86654465627</v>
      </c>
      <c r="G44" s="32">
        <f>F44+IS!G53</f>
        <v>26899.080490601693</v>
      </c>
      <c r="H44" s="32">
        <f>G44+IS!H53</f>
        <v>35660.325700671448</v>
      </c>
      <c r="I44" s="32">
        <f>H44+IS!I53</f>
        <v>46685.112903753688</v>
      </c>
      <c r="J44" s="32">
        <f>I44+IS!J53</f>
        <v>60137.985214158405</v>
      </c>
    </row>
    <row r="45" spans="1:10" x14ac:dyDescent="0.25">
      <c r="A45" s="27" t="s">
        <v>214</v>
      </c>
      <c r="B45" s="28" t="s">
        <v>155</v>
      </c>
      <c r="C45" s="15">
        <f t="shared" ref="C45:J45" si="5">C44/B44-1</f>
        <v>0.61140958245853283</v>
      </c>
      <c r="D45" s="15">
        <f t="shared" si="5"/>
        <v>0.42053646542914214</v>
      </c>
      <c r="E45" s="15">
        <f t="shared" si="5"/>
        <v>0.35184442717895581</v>
      </c>
      <c r="F45" s="15">
        <f t="shared" si="5"/>
        <v>0.30280055600791211</v>
      </c>
      <c r="G45" s="15">
        <f t="shared" si="5"/>
        <v>0.32144118903467245</v>
      </c>
      <c r="H45" s="15">
        <f t="shared" si="5"/>
        <v>0.32570798147285585</v>
      </c>
      <c r="I45" s="15">
        <f t="shared" si="5"/>
        <v>0.30916114719823362</v>
      </c>
      <c r="J45" s="15">
        <f t="shared" si="5"/>
        <v>0.28816193158061409</v>
      </c>
    </row>
    <row r="47" spans="1:10" x14ac:dyDescent="0.25">
      <c r="A47" s="1" t="s">
        <v>215</v>
      </c>
      <c r="B47" s="30">
        <f t="shared" ref="B47:J47" si="6">SUM(B38,B42,B44)</f>
        <v>10480.397000000001</v>
      </c>
      <c r="C47" s="30">
        <f t="shared" si="6"/>
        <v>18291.977999999999</v>
      </c>
      <c r="D47" s="30">
        <f t="shared" si="6"/>
        <v>23125.925999999999</v>
      </c>
      <c r="E47" s="30">
        <f t="shared" si="6"/>
        <v>30301.584000000003</v>
      </c>
      <c r="F47" s="30">
        <f t="shared" si="6"/>
        <v>38694.995134751705</v>
      </c>
      <c r="G47" s="30">
        <f t="shared" si="6"/>
        <v>49116.599502503203</v>
      </c>
      <c r="H47" s="30">
        <f t="shared" si="6"/>
        <v>62013.816577537669</v>
      </c>
      <c r="I47" s="30">
        <f t="shared" si="6"/>
        <v>77143.400289623343</v>
      </c>
      <c r="J47" s="30">
        <f t="shared" si="6"/>
        <v>94384.694631201506</v>
      </c>
    </row>
    <row r="48" spans="1:10" x14ac:dyDescent="0.25">
      <c r="A48" s="1" t="s">
        <v>216</v>
      </c>
      <c r="B48" s="30">
        <f t="shared" ref="B48:J48" si="7">B23-B47</f>
        <v>0</v>
      </c>
      <c r="C48" s="30">
        <f t="shared" si="7"/>
        <v>0</v>
      </c>
      <c r="D48" s="30">
        <f t="shared" si="7"/>
        <v>0</v>
      </c>
      <c r="E48" s="30">
        <f t="shared" si="7"/>
        <v>0</v>
      </c>
      <c r="F48" s="30">
        <f t="shared" si="7"/>
        <v>0</v>
      </c>
      <c r="G48" s="30">
        <f t="shared" si="7"/>
        <v>0</v>
      </c>
      <c r="H48" s="30">
        <f t="shared" si="7"/>
        <v>0</v>
      </c>
      <c r="I48" s="30">
        <f t="shared" si="7"/>
        <v>0</v>
      </c>
      <c r="J48" s="30">
        <f t="shared" si="7"/>
        <v>0</v>
      </c>
    </row>
    <row r="50" spans="1:10" x14ac:dyDescent="0.25">
      <c r="A50" s="2" t="s">
        <v>217</v>
      </c>
      <c r="B50" s="17">
        <f t="shared" ref="B50:J50" si="8">B33-B5-B8</f>
        <v>-3577.9189999999999</v>
      </c>
      <c r="C50" s="17">
        <f t="shared" si="8"/>
        <v>-3752.6620000000003</v>
      </c>
      <c r="D50" s="17">
        <f t="shared" si="8"/>
        <v>-5600.6260000000002</v>
      </c>
      <c r="E50" s="17">
        <f t="shared" si="8"/>
        <v>-8964.3559999999998</v>
      </c>
      <c r="F50" s="17">
        <f t="shared" si="8"/>
        <v>-11644.249780181108</v>
      </c>
      <c r="G50" s="17">
        <f t="shared" si="8"/>
        <v>-15951.737874868886</v>
      </c>
      <c r="H50" s="17">
        <f t="shared" si="8"/>
        <v>-22208.181137329855</v>
      </c>
      <c r="I50" s="17">
        <f t="shared" si="8"/>
        <v>-30531.527463179638</v>
      </c>
      <c r="J50" s="17">
        <f t="shared" si="8"/>
        <v>-41004.433664213728</v>
      </c>
    </row>
  </sheetData>
  <mergeCells count="3">
    <mergeCell ref="A1:J1"/>
    <mergeCell ref="A41:J41"/>
    <mergeCell ref="A26:J26"/>
  </mergeCells>
  <pageMargins left="0.75" right="0.75" top="1" bottom="1" header="0.5" footer="0.5"/>
  <pageSetup fitToHeight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25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8" customWidth="1"/>
    <col min="2" max="10" width="14" customWidth="1"/>
  </cols>
  <sheetData>
    <row r="1" spans="1:10" ht="18" x14ac:dyDescent="0.25">
      <c r="A1" s="50" t="s">
        <v>218</v>
      </c>
      <c r="B1" s="47"/>
      <c r="C1" s="47"/>
      <c r="D1" s="47"/>
      <c r="E1" s="47"/>
      <c r="F1" s="47"/>
      <c r="G1" s="47"/>
      <c r="H1" s="47"/>
      <c r="I1" s="47"/>
      <c r="J1" s="47"/>
    </row>
    <row r="4" spans="1:10" ht="30" customHeight="1" x14ac:dyDescent="0.25">
      <c r="A4" s="10" t="s">
        <v>219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72</v>
      </c>
      <c r="G4" s="10" t="s">
        <v>76</v>
      </c>
      <c r="H4" s="10" t="s">
        <v>77</v>
      </c>
      <c r="I4" s="10" t="s">
        <v>78</v>
      </c>
      <c r="J4" s="10" t="s">
        <v>79</v>
      </c>
    </row>
    <row r="5" spans="1:10" x14ac:dyDescent="0.25">
      <c r="A5" s="2" t="s">
        <v>187</v>
      </c>
      <c r="B5" s="4">
        <f>IS!B53</f>
        <v>488.2460000000018</v>
      </c>
      <c r="C5" s="4">
        <f>IS!C53</f>
        <v>2844.0369999999916</v>
      </c>
      <c r="D5" s="4">
        <f>IS!D53</f>
        <v>2955.7089999999962</v>
      </c>
      <c r="E5" s="4">
        <f>IS!E53</f>
        <v>3600.3820000000051</v>
      </c>
      <c r="F5" s="4">
        <f>IS!F53</f>
        <v>4731.1675446562695</v>
      </c>
      <c r="G5" s="4">
        <f>IS!G53</f>
        <v>6543.2139459454211</v>
      </c>
      <c r="H5" s="4">
        <f>IS!H53</f>
        <v>8761.2452100697556</v>
      </c>
      <c r="I5" s="4">
        <f>IS!I53</f>
        <v>11024.787203082238</v>
      </c>
      <c r="J5" s="4">
        <f>IS!J53</f>
        <v>13452.872310404717</v>
      </c>
    </row>
    <row r="6" spans="1:10" x14ac:dyDescent="0.25">
      <c r="A6" s="2" t="s">
        <v>220</v>
      </c>
      <c r="B6" s="4">
        <f>-IS!B31</f>
        <v>391.93599999999998</v>
      </c>
      <c r="C6" s="4">
        <f>-IS!C31</f>
        <v>604.58000000000004</v>
      </c>
      <c r="D6" s="4">
        <f>-IS!D31</f>
        <v>1190.037</v>
      </c>
      <c r="E6" s="4">
        <f>-IS!E31</f>
        <v>1557.383</v>
      </c>
      <c r="F6" s="4">
        <f>-IS!F31</f>
        <v>2031.6339429549207</v>
      </c>
      <c r="G6" s="4">
        <f>-IS!G31</f>
        <v>2458.9602657814048</v>
      </c>
      <c r="H6" s="4">
        <f>-IS!H31</f>
        <v>2899.4744214240727</v>
      </c>
      <c r="I6" s="4">
        <f>-IS!I31</f>
        <v>3304.587378701654</v>
      </c>
      <c r="J6" s="4">
        <f>-IS!J31</f>
        <v>3665.9895347088277</v>
      </c>
    </row>
    <row r="7" spans="1:10" x14ac:dyDescent="0.25">
      <c r="A7" s="2" t="s">
        <v>221</v>
      </c>
      <c r="B7" s="17">
        <f>B8-B5-B6</f>
        <v>-860.36400000000185</v>
      </c>
      <c r="C7" s="17">
        <f>C8-C5-C6</f>
        <v>-548.19199999999148</v>
      </c>
      <c r="D7" s="17">
        <f>D8-D5-D6</f>
        <v>83.526000000003705</v>
      </c>
      <c r="E7" s="17">
        <f>E8-E5-E6</f>
        <v>933.2969999999948</v>
      </c>
      <c r="F7" s="4">
        <f>-((BS!F11-BS!F27)-(BS!E11-BS!E27))+(BS!F35-BS!E35)</f>
        <v>-54.945364304047246</v>
      </c>
      <c r="G7" s="4">
        <f>-((BS!G11-BS!G27)-(BS!F11-BS!F27))+(BS!G35-BS!F35)</f>
        <v>63.646168719350442</v>
      </c>
      <c r="H7" s="4">
        <f>-((BS!H11-BS!H27)-(BS!G11-BS!G27))+(BS!H35-BS!G35)</f>
        <v>27.337753442289909</v>
      </c>
      <c r="I7" s="4">
        <f>-((BS!I11-BS!I27)-(BS!H11-BS!H27))+(BS!I35-BS!H35)</f>
        <v>62.044864300913105</v>
      </c>
      <c r="J7" s="4">
        <f>-((BS!J11-BS!J27)-(BS!I11-BS!I27))+(BS!J35-BS!I35)</f>
        <v>227.90257784149321</v>
      </c>
    </row>
    <row r="8" spans="1:10" x14ac:dyDescent="0.25">
      <c r="A8" s="1" t="s">
        <v>222</v>
      </c>
      <c r="B8" s="33">
        <v>19.818000000000001</v>
      </c>
      <c r="C8" s="33">
        <v>2900.4250000000002</v>
      </c>
      <c r="D8" s="33">
        <v>4229.2719999999999</v>
      </c>
      <c r="E8" s="33">
        <v>6091.0619999999999</v>
      </c>
      <c r="F8" s="30">
        <f>F5+F6+F7</f>
        <v>6707.8561233071432</v>
      </c>
      <c r="G8" s="30">
        <f>G5+G6+G7</f>
        <v>9065.8203804461755</v>
      </c>
      <c r="H8" s="30">
        <f>H5+H6+H7</f>
        <v>11688.057384936119</v>
      </c>
      <c r="I8" s="30">
        <f>I5+I6+I7</f>
        <v>14391.419446084805</v>
      </c>
      <c r="J8" s="30">
        <f>J5+J6+J7</f>
        <v>17346.764422955039</v>
      </c>
    </row>
    <row r="9" spans="1:10" x14ac:dyDescent="0.25">
      <c r="A9" s="27" t="s">
        <v>57</v>
      </c>
      <c r="B9" s="11">
        <f>B8/IS!B21</f>
        <v>1.4908618698197291E-3</v>
      </c>
      <c r="C9" s="11">
        <f>C8/IS!C21</f>
        <v>0.11646812296878238</v>
      </c>
      <c r="D9" s="11">
        <f>D8/IS!D21</f>
        <v>0.12267715207977627</v>
      </c>
      <c r="E9" s="11">
        <f>E8/IS!E21</f>
        <v>0.12358079572764985</v>
      </c>
      <c r="F9" s="11">
        <f>F8/IS!F21</f>
        <v>0.10565456276716254</v>
      </c>
      <c r="G9" s="11">
        <f>G8/IS!G21</f>
        <v>0.11429238434827771</v>
      </c>
      <c r="H9" s="11">
        <f>H8/IS!H21</f>
        <v>0.12093285560900598</v>
      </c>
      <c r="I9" s="11">
        <f>I8/IS!I21</f>
        <v>0.12629448584907244</v>
      </c>
      <c r="J9" s="11">
        <f>J8/IS!J21</f>
        <v>0.13249066841139215</v>
      </c>
    </row>
    <row r="11" spans="1:10" ht="18.95" customHeight="1" x14ac:dyDescent="0.25">
      <c r="A11" s="48" t="s">
        <v>223</v>
      </c>
      <c r="B11" s="49"/>
      <c r="C11" s="49"/>
      <c r="D11" s="49"/>
      <c r="E11" s="49"/>
      <c r="F11" s="49"/>
      <c r="G11" s="49"/>
      <c r="H11" s="49"/>
      <c r="I11" s="49"/>
      <c r="J11" s="49"/>
    </row>
    <row r="12" spans="1:10" x14ac:dyDescent="0.25">
      <c r="A12" s="2" t="s">
        <v>224</v>
      </c>
      <c r="B12" s="16">
        <v>-781.67600000000004</v>
      </c>
      <c r="C12" s="16">
        <v>-2750.22</v>
      </c>
      <c r="D12" s="16">
        <v>-2301.7910000000002</v>
      </c>
      <c r="E12" s="16">
        <v>-2623.694</v>
      </c>
      <c r="F12" s="4">
        <f>-IS!F21*Assumptions!$G$120</f>
        <v>-3682.3365216057941</v>
      </c>
      <c r="G12" s="4">
        <f>-IS!G21*Assumptions!$G$121</f>
        <v>-4362.6714392895892</v>
      </c>
      <c r="H12" s="4">
        <f>-IS!H21*Assumptions!$G$122</f>
        <v>-5025.7556638017259</v>
      </c>
      <c r="I12" s="4">
        <f>-IS!I21*Assumptions!$G$123</f>
        <v>-5697.5644460373342</v>
      </c>
      <c r="J12" s="4">
        <f>-IS!J21*Assumptions!$G$124</f>
        <v>-6284.5534880722762</v>
      </c>
    </row>
    <row r="13" spans="1:10" x14ac:dyDescent="0.25">
      <c r="A13" s="2" t="s">
        <v>225</v>
      </c>
      <c r="B13" s="17">
        <f>B14-B12</f>
        <v>-16.370000000000005</v>
      </c>
      <c r="C13" s="17">
        <f>C14-C12</f>
        <v>-696.87900000000036</v>
      </c>
      <c r="D13" s="17">
        <f>D14-D12</f>
        <v>-908.01499999999987</v>
      </c>
      <c r="E13" s="17">
        <f>E14-E12</f>
        <v>-5162.8089999999993</v>
      </c>
      <c r="F13" s="4">
        <f>-(BS!F8-BS!E8)-(BS!F20-BS!E20)+(BS!F30-BS!E30)-(BS!F17-BS!E17)</f>
        <v>-87.058893254367376</v>
      </c>
      <c r="G13" s="4">
        <f>-(BS!G8-BS!F8)-(BS!G20-BS!F20)+(BS!G30-BS!F30)-(BS!G17-BS!F17)</f>
        <v>-1185.7216753903815</v>
      </c>
      <c r="H13" s="4">
        <f>-(BS!H8-BS!G8)-(BS!H20-BS!G20)+(BS!H30-BS!G30)-(BS!H17-BS!G17)</f>
        <v>-998.87334848191267</v>
      </c>
      <c r="I13" s="4">
        <f>-(BS!I8-BS!H8)-(BS!I20-BS!H20)+(BS!I30-BS!H30)-(BS!I17-BS!H17)</f>
        <v>-615.16710818576576</v>
      </c>
      <c r="J13" s="4">
        <f>-(BS!J8-BS!I8)-(BS!J20-BS!I20)+(BS!J30-BS!I30)-(BS!J17-BS!I17)</f>
        <v>-468.40636948674091</v>
      </c>
    </row>
    <row r="14" spans="1:10" x14ac:dyDescent="0.25">
      <c r="A14" s="1" t="s">
        <v>226</v>
      </c>
      <c r="B14" s="33">
        <v>-798.04600000000005</v>
      </c>
      <c r="C14" s="33">
        <v>-3447.0990000000002</v>
      </c>
      <c r="D14" s="33">
        <v>-3209.806</v>
      </c>
      <c r="E14" s="33">
        <v>-7786.5029999999997</v>
      </c>
      <c r="F14" s="30">
        <f>F12+F13</f>
        <v>-3769.3954148601615</v>
      </c>
      <c r="G14" s="30">
        <f>G12+G13</f>
        <v>-5548.3931146799705</v>
      </c>
      <c r="H14" s="30">
        <f>H12+H13</f>
        <v>-6024.6290122836381</v>
      </c>
      <c r="I14" s="30">
        <f>I12+I13</f>
        <v>-6312.7315542230999</v>
      </c>
      <c r="J14" s="30">
        <f>J12+J13</f>
        <v>-6752.9598575590171</v>
      </c>
    </row>
    <row r="16" spans="1:10" ht="18.95" customHeight="1" x14ac:dyDescent="0.25">
      <c r="A16" s="48" t="s">
        <v>227</v>
      </c>
      <c r="B16" s="49"/>
      <c r="C16" s="49"/>
      <c r="D16" s="49"/>
      <c r="E16" s="49"/>
      <c r="F16" s="49"/>
      <c r="G16" s="49"/>
      <c r="H16" s="49"/>
      <c r="I16" s="49"/>
      <c r="J16" s="49"/>
    </row>
    <row r="17" spans="1:10" x14ac:dyDescent="0.25">
      <c r="A17" s="2" t="s">
        <v>228</v>
      </c>
      <c r="B17" s="17">
        <f>B18</f>
        <v>-2276.2600000000002</v>
      </c>
      <c r="C17" s="17">
        <f>C18</f>
        <v>0</v>
      </c>
      <c r="D17" s="17">
        <f>D18</f>
        <v>333.6</v>
      </c>
      <c r="E17" s="17">
        <f>E18</f>
        <v>-333.6</v>
      </c>
      <c r="F17" s="4">
        <f>(BS!F33-BS!E33)+(BS!F42-BS!E42)+(BS!F44-BS!E44)-IS!F53</f>
        <v>0</v>
      </c>
      <c r="G17" s="4">
        <f>(BS!G33-BS!F33)+(BS!G42-BS!F42)+(BS!G44-BS!F44)-IS!G53</f>
        <v>0</v>
      </c>
      <c r="H17" s="4">
        <f>(BS!H33-BS!G33)+(BS!H42-BS!G42)+(BS!H44-BS!G44)-IS!H53</f>
        <v>0</v>
      </c>
      <c r="I17" s="4">
        <f>(BS!I33-BS!H33)+(BS!I42-BS!H42)+(BS!I44-BS!H44)-IS!I53</f>
        <v>0</v>
      </c>
      <c r="J17" s="4">
        <f>(BS!J33-BS!I33)+(BS!J42-BS!I42)+(BS!J44-BS!I44)-IS!J53</f>
        <v>0</v>
      </c>
    </row>
    <row r="18" spans="1:10" x14ac:dyDescent="0.25">
      <c r="A18" s="1" t="s">
        <v>229</v>
      </c>
      <c r="B18" s="33">
        <v>-2276.2600000000002</v>
      </c>
      <c r="C18" s="33">
        <v>0</v>
      </c>
      <c r="D18" s="33">
        <v>333.6</v>
      </c>
      <c r="E18" s="33">
        <v>-333.6</v>
      </c>
      <c r="F18" s="30">
        <f>F17</f>
        <v>0</v>
      </c>
      <c r="G18" s="30">
        <f>G17</f>
        <v>0</v>
      </c>
      <c r="H18" s="30">
        <f>H17</f>
        <v>0</v>
      </c>
      <c r="I18" s="30">
        <f>I17</f>
        <v>0</v>
      </c>
      <c r="J18" s="30">
        <f>J17</f>
        <v>0</v>
      </c>
    </row>
    <row r="20" spans="1:10" x14ac:dyDescent="0.25">
      <c r="A20" s="2" t="s">
        <v>230</v>
      </c>
      <c r="B20" s="16">
        <v>77.132999999999996</v>
      </c>
      <c r="C20" s="16">
        <v>7.3979999999999997</v>
      </c>
      <c r="D20" s="16">
        <v>14.976000000000001</v>
      </c>
      <c r="E20" s="16">
        <v>-20.710999999999999</v>
      </c>
      <c r="F20" s="4">
        <f>BS!E5*Assumptions!$G$125</f>
        <v>0</v>
      </c>
      <c r="G20" s="4">
        <f>BS!F5*Assumptions!$G$126</f>
        <v>0</v>
      </c>
      <c r="H20" s="4">
        <f>BS!G5*Assumptions!$G$127</f>
        <v>0</v>
      </c>
      <c r="I20" s="4">
        <f>BS!H5*Assumptions!$G$128</f>
        <v>0</v>
      </c>
      <c r="J20" s="4">
        <f>BS!I5*Assumptions!$G$129</f>
        <v>0</v>
      </c>
    </row>
    <row r="21" spans="1:10" x14ac:dyDescent="0.25">
      <c r="A21" s="2" t="s">
        <v>231</v>
      </c>
      <c r="B21" s="17">
        <f t="shared" ref="B21:J21" si="0">B8+B14+B18+B20</f>
        <v>-2977.3550000000005</v>
      </c>
      <c r="C21" s="17">
        <f t="shared" si="0"/>
        <v>-539.27599999999995</v>
      </c>
      <c r="D21" s="17">
        <f t="shared" si="0"/>
        <v>1368.0419999999999</v>
      </c>
      <c r="E21" s="17">
        <f t="shared" si="0"/>
        <v>-2049.7519999999995</v>
      </c>
      <c r="F21" s="17">
        <f t="shared" si="0"/>
        <v>2938.4607084469817</v>
      </c>
      <c r="G21" s="17">
        <f t="shared" si="0"/>
        <v>3517.427265766205</v>
      </c>
      <c r="H21" s="17">
        <f t="shared" si="0"/>
        <v>5663.4283726524809</v>
      </c>
      <c r="I21" s="17">
        <f t="shared" si="0"/>
        <v>8078.6878918617049</v>
      </c>
      <c r="J21" s="17">
        <f t="shared" si="0"/>
        <v>10593.804565396022</v>
      </c>
    </row>
    <row r="22" spans="1:10" x14ac:dyDescent="0.25">
      <c r="A22" s="2" t="s">
        <v>232</v>
      </c>
      <c r="B22" s="16">
        <v>6555.2740000000003</v>
      </c>
      <c r="C22" s="16">
        <v>3577.9189999999999</v>
      </c>
      <c r="D22" s="16">
        <v>3038.643</v>
      </c>
      <c r="E22" s="16">
        <v>4406.6850000000004</v>
      </c>
      <c r="F22" s="4">
        <f>BS!E5</f>
        <v>2356.933</v>
      </c>
      <c r="G22" s="4">
        <f>BS!F5</f>
        <v>5295.3937084469799</v>
      </c>
      <c r="H22" s="4">
        <f>BS!G5</f>
        <v>8812.8209742131949</v>
      </c>
      <c r="I22" s="4">
        <f>BS!H5</f>
        <v>14476.249346865661</v>
      </c>
      <c r="J22" s="4">
        <f>BS!I5</f>
        <v>22554.937238727369</v>
      </c>
    </row>
    <row r="23" spans="1:10" x14ac:dyDescent="0.25">
      <c r="A23" s="1" t="s">
        <v>233</v>
      </c>
      <c r="B23" s="33">
        <v>3577.9189999999999</v>
      </c>
      <c r="C23" s="33">
        <v>3038.643</v>
      </c>
      <c r="D23" s="33">
        <v>4406.6850000000004</v>
      </c>
      <c r="E23" s="33">
        <v>2356.933</v>
      </c>
      <c r="F23" s="30">
        <f>F22+F21</f>
        <v>5295.3937084469817</v>
      </c>
      <c r="G23" s="30">
        <f>G22+G21</f>
        <v>8812.8209742131839</v>
      </c>
      <c r="H23" s="30">
        <f>H22+H21</f>
        <v>14476.249346865676</v>
      </c>
      <c r="I23" s="30">
        <f>I22+I21</f>
        <v>22554.937238727365</v>
      </c>
      <c r="J23" s="30">
        <f>J22+J21</f>
        <v>33148.74180412339</v>
      </c>
    </row>
    <row r="24" spans="1:10" x14ac:dyDescent="0.25">
      <c r="A24" s="1" t="s">
        <v>234</v>
      </c>
      <c r="B24" s="30">
        <f t="shared" ref="B24:J24" si="1">B23-(B22+B21)</f>
        <v>0</v>
      </c>
      <c r="C24" s="30">
        <f t="shared" si="1"/>
        <v>0</v>
      </c>
      <c r="D24" s="30">
        <f t="shared" si="1"/>
        <v>0</v>
      </c>
      <c r="E24" s="30">
        <f t="shared" si="1"/>
        <v>0</v>
      </c>
      <c r="F24" s="30">
        <f t="shared" si="1"/>
        <v>0</v>
      </c>
      <c r="G24" s="30">
        <f t="shared" si="1"/>
        <v>0</v>
      </c>
      <c r="H24" s="30">
        <f t="shared" si="1"/>
        <v>0</v>
      </c>
      <c r="I24" s="30">
        <f t="shared" si="1"/>
        <v>0</v>
      </c>
      <c r="J24" s="30">
        <f t="shared" si="1"/>
        <v>0</v>
      </c>
    </row>
    <row r="25" spans="1:10" x14ac:dyDescent="0.25">
      <c r="A25" s="1" t="s">
        <v>235</v>
      </c>
      <c r="B25" s="32">
        <f>B23-BS!B5</f>
        <v>0</v>
      </c>
      <c r="C25" s="32">
        <f>C23-BS!C5</f>
        <v>0</v>
      </c>
      <c r="D25" s="32">
        <f>D23-BS!D5</f>
        <v>0</v>
      </c>
      <c r="E25" s="32">
        <f>E23-BS!E5</f>
        <v>0</v>
      </c>
      <c r="F25" s="32">
        <f>F23-BS!F5</f>
        <v>0</v>
      </c>
      <c r="G25" s="32">
        <f>G23-BS!G5</f>
        <v>0</v>
      </c>
      <c r="H25" s="32">
        <f>H23-BS!H5</f>
        <v>1.4551915228366852E-11</v>
      </c>
      <c r="I25" s="32">
        <f>I23-BS!I5</f>
        <v>0</v>
      </c>
      <c r="J25" s="32">
        <f>J23-BS!J5</f>
        <v>0</v>
      </c>
    </row>
  </sheetData>
  <mergeCells count="3">
    <mergeCell ref="A16:J16"/>
    <mergeCell ref="A1:J1"/>
    <mergeCell ref="A11:J11"/>
  </mergeCells>
  <pageMargins left="0.75" right="0.75" top="1" bottom="1" header="0.5" footer="0.5"/>
  <pageSetup fitToHeight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72"/>
  <sheetViews>
    <sheetView showGridLines="0" zoomScale="90" workbookViewId="0">
      <pane xSplit="1" ySplit="38" topLeftCell="B3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6" width="16" customWidth="1"/>
  </cols>
  <sheetData>
    <row r="1" spans="1:6" ht="18" x14ac:dyDescent="0.25">
      <c r="A1" s="50" t="s">
        <v>236</v>
      </c>
      <c r="B1" s="47"/>
      <c r="C1" s="47"/>
      <c r="D1" s="47"/>
      <c r="E1" s="47"/>
      <c r="F1" s="47"/>
    </row>
    <row r="2" spans="1:6" ht="25.5" x14ac:dyDescent="0.25">
      <c r="A2" s="2" t="s">
        <v>237</v>
      </c>
    </row>
    <row r="4" spans="1:6" x14ac:dyDescent="0.25">
      <c r="A4" s="2" t="s">
        <v>238</v>
      </c>
      <c r="B4" s="34">
        <f>Assumptions!$B$4</f>
        <v>2</v>
      </c>
    </row>
    <row r="5" spans="1:6" x14ac:dyDescent="0.25">
      <c r="A5" s="2" t="s">
        <v>239</v>
      </c>
      <c r="B5" s="2" t="str">
        <f>CHOOSE($B$4,"Bear","Base","Bull")</f>
        <v>Base</v>
      </c>
    </row>
    <row r="7" spans="1:6" ht="18.95" customHeight="1" x14ac:dyDescent="0.25">
      <c r="A7" s="48" t="s">
        <v>240</v>
      </c>
      <c r="B7" s="49"/>
      <c r="C7" s="49"/>
      <c r="D7" s="49"/>
      <c r="E7" s="49"/>
      <c r="F7" s="49"/>
    </row>
    <row r="8" spans="1:6" x14ac:dyDescent="0.25">
      <c r="A8" s="2" t="s">
        <v>241</v>
      </c>
      <c r="B8" s="35">
        <f>Assumptions!$G$141</f>
        <v>34.81</v>
      </c>
    </row>
    <row r="9" spans="1:6" x14ac:dyDescent="0.25">
      <c r="A9" s="2" t="s">
        <v>242</v>
      </c>
      <c r="B9" s="4">
        <f>Assumptions!$G$143</f>
        <v>286.78922549999999</v>
      </c>
    </row>
    <row r="10" spans="1:6" x14ac:dyDescent="0.25">
      <c r="A10" s="2" t="s">
        <v>243</v>
      </c>
      <c r="B10" s="30">
        <f>B8*B9</f>
        <v>9983.1329396550009</v>
      </c>
    </row>
    <row r="11" spans="1:6" x14ac:dyDescent="0.25">
      <c r="A11" s="2" t="s">
        <v>125</v>
      </c>
      <c r="B11" s="36">
        <f>Assumptions!$G$142</f>
        <v>7.0063000000000004</v>
      </c>
    </row>
    <row r="12" spans="1:6" x14ac:dyDescent="0.25">
      <c r="A12" s="1" t="s">
        <v>244</v>
      </c>
      <c r="B12" s="30">
        <f>B10*B11</f>
        <v>69944.824315104837</v>
      </c>
    </row>
    <row r="13" spans="1:6" x14ac:dyDescent="0.25">
      <c r="A13" s="2" t="s">
        <v>245</v>
      </c>
      <c r="B13" s="4">
        <f>Assumptions!$G$144</f>
        <v>321.021630125</v>
      </c>
    </row>
    <row r="14" spans="1:6" x14ac:dyDescent="0.25">
      <c r="A14" s="2" t="s">
        <v>133</v>
      </c>
      <c r="B14" s="4">
        <f>Assumptions!$G$145</f>
        <v>0</v>
      </c>
    </row>
    <row r="15" spans="1:6" x14ac:dyDescent="0.25">
      <c r="A15" s="2" t="s">
        <v>135</v>
      </c>
      <c r="B15" s="4">
        <f>Assumptions!$G$146</f>
        <v>8901.5349999999999</v>
      </c>
    </row>
    <row r="16" spans="1:6" x14ac:dyDescent="0.25">
      <c r="A16" s="2" t="s">
        <v>137</v>
      </c>
      <c r="B16" s="4">
        <f>Assumptions!$G$147</f>
        <v>1514.66</v>
      </c>
    </row>
    <row r="17" spans="1:6" x14ac:dyDescent="0.25">
      <c r="A17" s="2" t="s">
        <v>246</v>
      </c>
      <c r="B17" s="17">
        <f>B14-B15+B16</f>
        <v>-7386.875</v>
      </c>
    </row>
    <row r="18" spans="1:6" x14ac:dyDescent="0.25">
      <c r="A18" s="1" t="s">
        <v>247</v>
      </c>
      <c r="B18" s="30">
        <f>B12+B17</f>
        <v>62557.949315104837</v>
      </c>
    </row>
    <row r="20" spans="1:6" ht="18.95" customHeight="1" x14ac:dyDescent="0.25">
      <c r="A20" s="48" t="s">
        <v>248</v>
      </c>
      <c r="B20" s="49"/>
      <c r="C20" s="49"/>
      <c r="D20" s="49"/>
      <c r="E20" s="49"/>
      <c r="F20" s="49"/>
    </row>
    <row r="22" spans="1:6" x14ac:dyDescent="0.25">
      <c r="A22" s="28" t="s">
        <v>109</v>
      </c>
      <c r="B22" s="11">
        <f>Assumptions!$G$136</f>
        <v>4.2999999999999997E-2</v>
      </c>
    </row>
    <row r="23" spans="1:6" x14ac:dyDescent="0.25">
      <c r="A23" s="2" t="s">
        <v>111</v>
      </c>
      <c r="B23" s="37">
        <f>Assumptions!$G$137</f>
        <v>1.05</v>
      </c>
    </row>
    <row r="24" spans="1:6" x14ac:dyDescent="0.25">
      <c r="A24" s="28" t="s">
        <v>114</v>
      </c>
      <c r="B24" s="11">
        <f>Assumptions!$G$138</f>
        <v>5.5E-2</v>
      </c>
    </row>
    <row r="25" spans="1:6" x14ac:dyDescent="0.25">
      <c r="A25" s="28" t="s">
        <v>116</v>
      </c>
      <c r="B25" s="11">
        <f>Assumptions!$G$139</f>
        <v>1.4999999999999999E-2</v>
      </c>
    </row>
    <row r="26" spans="1:6" x14ac:dyDescent="0.25">
      <c r="A26" s="2" t="s">
        <v>249</v>
      </c>
      <c r="B26" s="38">
        <f>B22+B23*B24+B25</f>
        <v>0.11575000000000001</v>
      </c>
    </row>
    <row r="27" spans="1:6" x14ac:dyDescent="0.25">
      <c r="A27" s="28" t="s">
        <v>118</v>
      </c>
      <c r="B27" s="11">
        <f>Assumptions!$G$140</f>
        <v>5.5E-2</v>
      </c>
    </row>
    <row r="28" spans="1:6" x14ac:dyDescent="0.25">
      <c r="A28" s="28" t="s">
        <v>250</v>
      </c>
      <c r="B28" s="11">
        <f>Assumptions!$G$84</f>
        <v>0.25</v>
      </c>
    </row>
    <row r="29" spans="1:6" x14ac:dyDescent="0.25">
      <c r="A29" s="2" t="s">
        <v>251</v>
      </c>
      <c r="B29" s="38">
        <f>B27*(1-B28)</f>
        <v>4.1250000000000002E-2</v>
      </c>
    </row>
    <row r="30" spans="1:6" x14ac:dyDescent="0.25">
      <c r="A30" s="2" t="s">
        <v>252</v>
      </c>
      <c r="B30" s="17">
        <f>B12+B14</f>
        <v>69944.824315104837</v>
      </c>
    </row>
    <row r="31" spans="1:6" x14ac:dyDescent="0.25">
      <c r="A31" s="28" t="s">
        <v>253</v>
      </c>
      <c r="B31" s="15">
        <f>IF(B30=0,1,B12/B30)</f>
        <v>1</v>
      </c>
    </row>
    <row r="32" spans="1:6" x14ac:dyDescent="0.25">
      <c r="A32" s="28" t="s">
        <v>254</v>
      </c>
      <c r="B32" s="15">
        <f>IF(B30=0,0,B14/B30)</f>
        <v>0</v>
      </c>
    </row>
    <row r="33" spans="1:6" x14ac:dyDescent="0.25">
      <c r="A33" s="39" t="s">
        <v>255</v>
      </c>
      <c r="B33" s="40">
        <f>B26*B31+B29*B32</f>
        <v>0.11575000000000001</v>
      </c>
    </row>
    <row r="36" spans="1:6" ht="18.95" customHeight="1" x14ac:dyDescent="0.25">
      <c r="A36" s="48" t="s">
        <v>256</v>
      </c>
      <c r="B36" s="49"/>
      <c r="C36" s="49"/>
      <c r="D36" s="49"/>
      <c r="E36" s="49"/>
      <c r="F36" s="49"/>
    </row>
    <row r="37" spans="1:6" ht="30" customHeight="1" x14ac:dyDescent="0.25">
      <c r="A37" s="10" t="s">
        <v>257</v>
      </c>
      <c r="B37" s="10" t="s">
        <v>72</v>
      </c>
      <c r="C37" s="10" t="s">
        <v>76</v>
      </c>
      <c r="D37" s="10" t="s">
        <v>77</v>
      </c>
      <c r="E37" s="10" t="s">
        <v>78</v>
      </c>
      <c r="F37" s="10" t="s">
        <v>79</v>
      </c>
    </row>
    <row r="39" spans="1:6" x14ac:dyDescent="0.25">
      <c r="A39" s="2" t="s">
        <v>45</v>
      </c>
      <c r="B39" s="4">
        <f>IS!F21</f>
        <v>63488.560717341272</v>
      </c>
      <c r="C39" s="4">
        <f>IS!G21</f>
        <v>79321.298896174354</v>
      </c>
      <c r="D39" s="4">
        <f>IS!H21</f>
        <v>96649.147380802431</v>
      </c>
      <c r="E39" s="4">
        <f>IS!I21</f>
        <v>113951.28892074668</v>
      </c>
      <c r="F39" s="4">
        <f>IS!J21</f>
        <v>130928.19766817242</v>
      </c>
    </row>
    <row r="40" spans="1:6" x14ac:dyDescent="0.25">
      <c r="A40" s="2" t="s">
        <v>258</v>
      </c>
      <c r="B40" s="4">
        <f>IS!F45</f>
        <v>6348.8560717341243</v>
      </c>
      <c r="C40" s="4">
        <f>IS!G45</f>
        <v>8725.3428785791766</v>
      </c>
      <c r="D40" s="4">
        <f>IS!H45</f>
        <v>11597.897685696313</v>
      </c>
      <c r="E40" s="4">
        <f>IS!I45</f>
        <v>14471.813692934826</v>
      </c>
      <c r="F40" s="4">
        <f>IS!J45</f>
        <v>17675.306685203279</v>
      </c>
    </row>
    <row r="41" spans="1:6" x14ac:dyDescent="0.25">
      <c r="A41" s="2" t="s">
        <v>259</v>
      </c>
      <c r="B41" s="4">
        <f>-B40*Assumptions!$G$80</f>
        <v>-1777.6797000855549</v>
      </c>
      <c r="C41" s="4">
        <f>-C40*Assumptions!$G$81</f>
        <v>-2355.8425772163778</v>
      </c>
      <c r="D41" s="4">
        <f>-D40*Assumptions!$G$82</f>
        <v>-3015.4533982810412</v>
      </c>
      <c r="E41" s="4">
        <f>-E40*Assumptions!$G$83</f>
        <v>-3617.9534232337064</v>
      </c>
      <c r="F41" s="4">
        <f>-F40*Assumptions!$G$84</f>
        <v>-4418.8266713008197</v>
      </c>
    </row>
    <row r="42" spans="1:6" x14ac:dyDescent="0.25">
      <c r="A42" s="2" t="s">
        <v>260</v>
      </c>
      <c r="B42" s="17">
        <f>B40+B41</f>
        <v>4571.1763716485693</v>
      </c>
      <c r="C42" s="17">
        <f>C40+C41</f>
        <v>6369.5003013627993</v>
      </c>
      <c r="D42" s="17">
        <f>D40+D41</f>
        <v>8582.4442874152719</v>
      </c>
      <c r="E42" s="17">
        <f>E40+E41</f>
        <v>10853.860269701119</v>
      </c>
      <c r="F42" s="17">
        <f>F40+F41</f>
        <v>13256.480013902459</v>
      </c>
    </row>
    <row r="43" spans="1:6" x14ac:dyDescent="0.25">
      <c r="A43" s="2" t="s">
        <v>220</v>
      </c>
      <c r="B43" s="4">
        <f>-IS!F31</f>
        <v>2031.6339429549207</v>
      </c>
      <c r="C43" s="4">
        <f>-IS!G31</f>
        <v>2458.9602657814048</v>
      </c>
      <c r="D43" s="4">
        <f>-IS!H31</f>
        <v>2899.4744214240727</v>
      </c>
      <c r="E43" s="4">
        <f>-IS!I31</f>
        <v>3304.587378701654</v>
      </c>
      <c r="F43" s="4">
        <f>-IS!J31</f>
        <v>3665.9895347088277</v>
      </c>
    </row>
    <row r="44" spans="1:6" x14ac:dyDescent="0.25">
      <c r="A44" s="2" t="s">
        <v>261</v>
      </c>
      <c r="B44" s="4">
        <f>-CF!F12</f>
        <v>3682.3365216057941</v>
      </c>
      <c r="C44" s="4">
        <f>-CF!G12</f>
        <v>4362.6714392895892</v>
      </c>
      <c r="D44" s="4">
        <f>-CF!H12</f>
        <v>5025.7556638017259</v>
      </c>
      <c r="E44" s="4">
        <f>-CF!I12</f>
        <v>5697.5644460373342</v>
      </c>
      <c r="F44" s="4">
        <f>-CF!J12</f>
        <v>6284.5534880722762</v>
      </c>
    </row>
    <row r="45" spans="1:6" x14ac:dyDescent="0.25">
      <c r="A45" s="2" t="s">
        <v>262</v>
      </c>
      <c r="B45" s="4">
        <f>(BS!F11-BS!F27)-(BS!E11-BS!E27)</f>
        <v>159.56828932543613</v>
      </c>
      <c r="C45" s="4">
        <f>(BS!G11-BS!G27)-(BS!F11-BS!F27)</f>
        <v>47.182998532481179</v>
      </c>
      <c r="D45" s="4">
        <f>(BS!H11-BS!H27)-(BS!G11-BS!G27)</f>
        <v>93.957185950106577</v>
      </c>
      <c r="E45" s="4">
        <f>(BS!I11-BS!I27)-(BS!H11-BS!H27)</f>
        <v>59.070126478696693</v>
      </c>
      <c r="F45" s="4">
        <f>(BS!J11-BS!J27)-(BS!I11-BS!I27)</f>
        <v>-109.0642166095131</v>
      </c>
    </row>
    <row r="46" spans="1:6" x14ac:dyDescent="0.25">
      <c r="A46" s="1" t="s">
        <v>263</v>
      </c>
      <c r="B46" s="30">
        <f>B42+B43-B44-B45</f>
        <v>2760.9055036722598</v>
      </c>
      <c r="C46" s="30">
        <f>C42+C43-C44-C45</f>
        <v>4418.6061293221337</v>
      </c>
      <c r="D46" s="30">
        <f>D42+D43-D44-D45</f>
        <v>6362.2058590875122</v>
      </c>
      <c r="E46" s="30">
        <f>E42+E43-E44-E45</f>
        <v>8401.8130758867428</v>
      </c>
      <c r="F46" s="30">
        <f>F42+F43-F44-F45</f>
        <v>10746.980277148523</v>
      </c>
    </row>
    <row r="47" spans="1:6" x14ac:dyDescent="0.25">
      <c r="A47" s="28" t="s">
        <v>103</v>
      </c>
      <c r="B47" s="41">
        <f>Assumptions!$G$130</f>
        <v>0.5</v>
      </c>
      <c r="C47" s="41">
        <f>Assumptions!$G$131</f>
        <v>1.5</v>
      </c>
      <c r="D47" s="41">
        <f>Assumptions!$G$132</f>
        <v>2.5</v>
      </c>
      <c r="E47" s="41">
        <f>Assumptions!$G$133</f>
        <v>3.5</v>
      </c>
      <c r="F47" s="41">
        <f>Assumptions!$G$134</f>
        <v>4.5</v>
      </c>
    </row>
    <row r="48" spans="1:6" x14ac:dyDescent="0.25">
      <c r="A48" s="28" t="s">
        <v>264</v>
      </c>
      <c r="B48" s="15">
        <f>1/(1+$B$33)^B47</f>
        <v>0.94670910122340834</v>
      </c>
      <c r="C48" s="15">
        <f>1/(1+$B$33)^C47</f>
        <v>0.84849572146395547</v>
      </c>
      <c r="D48" s="15">
        <f>1/(1+$B$33)^D47</f>
        <v>0.76047118213215825</v>
      </c>
      <c r="E48" s="15">
        <f>1/(1+$B$33)^E47</f>
        <v>0.68157847379086545</v>
      </c>
      <c r="F48" s="15">
        <f>1/(1+$B$33)^F47</f>
        <v>0.61087024314664173</v>
      </c>
    </row>
    <row r="49" spans="1:6" x14ac:dyDescent="0.25">
      <c r="A49" s="1" t="s">
        <v>265</v>
      </c>
      <c r="B49" s="30">
        <f>B46*B48</f>
        <v>2613.7743679443265</v>
      </c>
      <c r="C49" s="30">
        <f>C46*C48</f>
        <v>3749.1683955642397</v>
      </c>
      <c r="D49" s="30">
        <f>D46*D48</f>
        <v>4838.274210628424</v>
      </c>
      <c r="E49" s="30">
        <f>E46*E48</f>
        <v>5726.4949333390232</v>
      </c>
      <c r="F49" s="30">
        <f>F46*F48</f>
        <v>6565.0104549938815</v>
      </c>
    </row>
    <row r="52" spans="1:6" x14ac:dyDescent="0.25">
      <c r="A52" s="2" t="s">
        <v>266</v>
      </c>
      <c r="F52" s="30">
        <f>F46*(1+F53)</f>
        <v>11015.654784077235</v>
      </c>
    </row>
    <row r="53" spans="1:6" x14ac:dyDescent="0.25">
      <c r="A53" s="28" t="s">
        <v>106</v>
      </c>
      <c r="F53" s="11">
        <f>Assumptions!$G$135</f>
        <v>2.5000000000000001E-2</v>
      </c>
    </row>
    <row r="54" spans="1:6" x14ac:dyDescent="0.25">
      <c r="A54" s="1" t="s">
        <v>267</v>
      </c>
      <c r="F54" s="30">
        <f>F52/($B$33-F53)</f>
        <v>121384.62571985934</v>
      </c>
    </row>
    <row r="55" spans="1:6" x14ac:dyDescent="0.25">
      <c r="A55" s="1" t="s">
        <v>268</v>
      </c>
      <c r="F55" s="30">
        <f>F54*F48</f>
        <v>74150.255827754576</v>
      </c>
    </row>
    <row r="58" spans="1:6" ht="18.95" customHeight="1" x14ac:dyDescent="0.25">
      <c r="A58" s="48" t="s">
        <v>269</v>
      </c>
      <c r="B58" s="49"/>
      <c r="C58" s="49"/>
      <c r="D58" s="49"/>
      <c r="E58" s="49"/>
      <c r="F58" s="49"/>
    </row>
    <row r="59" spans="1:6" x14ac:dyDescent="0.25">
      <c r="A59" s="2" t="s">
        <v>270</v>
      </c>
      <c r="B59" s="17">
        <f>SUM(B49:F49)</f>
        <v>23492.722362469893</v>
      </c>
    </row>
    <row r="60" spans="1:6" x14ac:dyDescent="0.25">
      <c r="A60" s="2" t="s">
        <v>271</v>
      </c>
      <c r="B60" s="17">
        <f>F55</f>
        <v>74150.255827754576</v>
      </c>
    </row>
    <row r="61" spans="1:6" x14ac:dyDescent="0.25">
      <c r="A61" s="1" t="s">
        <v>272</v>
      </c>
      <c r="B61" s="42">
        <f>B59+B60</f>
        <v>97642.978190224472</v>
      </c>
    </row>
    <row r="62" spans="1:6" x14ac:dyDescent="0.25">
      <c r="A62" s="2" t="s">
        <v>273</v>
      </c>
      <c r="B62" s="17">
        <f>B14</f>
        <v>0</v>
      </c>
    </row>
    <row r="63" spans="1:6" x14ac:dyDescent="0.25">
      <c r="A63" s="2" t="s">
        <v>274</v>
      </c>
      <c r="B63" s="17">
        <f>B15</f>
        <v>8901.5349999999999</v>
      </c>
    </row>
    <row r="64" spans="1:6" x14ac:dyDescent="0.25">
      <c r="A64" s="2" t="s">
        <v>275</v>
      </c>
      <c r="B64" s="17">
        <f>B16</f>
        <v>1514.66</v>
      </c>
    </row>
    <row r="65" spans="1:2" x14ac:dyDescent="0.25">
      <c r="A65" s="1" t="s">
        <v>276</v>
      </c>
      <c r="B65" s="42">
        <f>B61-B62+B63-B64</f>
        <v>105029.85319022447</v>
      </c>
    </row>
    <row r="66" spans="1:2" x14ac:dyDescent="0.25">
      <c r="A66" s="2" t="s">
        <v>125</v>
      </c>
      <c r="B66" s="23">
        <f>B11</f>
        <v>7.0063000000000004</v>
      </c>
    </row>
    <row r="67" spans="1:2" x14ac:dyDescent="0.25">
      <c r="A67" s="1" t="s">
        <v>277</v>
      </c>
      <c r="B67" s="30">
        <f>B65/B66</f>
        <v>14990.77304571949</v>
      </c>
    </row>
    <row r="68" spans="1:2" x14ac:dyDescent="0.25">
      <c r="A68" s="2" t="s">
        <v>245</v>
      </c>
      <c r="B68" s="17">
        <f>B13</f>
        <v>321.021630125</v>
      </c>
    </row>
    <row r="69" spans="1:2" x14ac:dyDescent="0.25">
      <c r="A69" s="1" t="s">
        <v>29</v>
      </c>
      <c r="B69" s="43">
        <f>B67/B68</f>
        <v>46.697080940877271</v>
      </c>
    </row>
    <row r="70" spans="1:2" x14ac:dyDescent="0.25">
      <c r="A70" s="2" t="s">
        <v>278</v>
      </c>
      <c r="B70" s="21">
        <f>B8</f>
        <v>34.81</v>
      </c>
    </row>
    <row r="71" spans="1:2" x14ac:dyDescent="0.25">
      <c r="A71" s="39" t="s">
        <v>279</v>
      </c>
      <c r="B71" s="40">
        <f>B69/B70-1</f>
        <v>0.34148465788213933</v>
      </c>
    </row>
    <row r="72" spans="1:2" x14ac:dyDescent="0.25">
      <c r="A72" s="28" t="s">
        <v>280</v>
      </c>
      <c r="B72" s="15">
        <f>B60/B61</f>
        <v>0.75940182491461661</v>
      </c>
    </row>
  </sheetData>
  <mergeCells count="5">
    <mergeCell ref="A36:F36"/>
    <mergeCell ref="A1:F1"/>
    <mergeCell ref="A58:F58"/>
    <mergeCell ref="A20:F20"/>
    <mergeCell ref="A7:F7"/>
  </mergeCells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28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6" width="16" customWidth="1"/>
  </cols>
  <sheetData>
    <row r="1" spans="1:6" ht="18" x14ac:dyDescent="0.25">
      <c r="A1" s="50" t="s">
        <v>281</v>
      </c>
      <c r="B1" s="47"/>
      <c r="C1" s="47"/>
      <c r="D1" s="47"/>
      <c r="E1" s="47"/>
      <c r="F1" s="47"/>
    </row>
    <row r="2" spans="1:6" ht="38.25" x14ac:dyDescent="0.25">
      <c r="A2" s="2" t="s">
        <v>282</v>
      </c>
    </row>
    <row r="4" spans="1:6" ht="18.95" customHeight="1" x14ac:dyDescent="0.25">
      <c r="A4" s="48" t="s">
        <v>283</v>
      </c>
      <c r="B4" s="49"/>
      <c r="C4" s="49"/>
      <c r="D4" s="49"/>
      <c r="E4" s="49"/>
      <c r="F4" s="49"/>
    </row>
    <row r="5" spans="1:6" x14ac:dyDescent="0.25">
      <c r="A5" s="1" t="s">
        <v>284</v>
      </c>
      <c r="B5" s="5">
        <f>Assumptions!$D$156</f>
        <v>1.4999999999999999E-2</v>
      </c>
      <c r="C5" s="5">
        <f>Assumptions!$D$157</f>
        <v>0.02</v>
      </c>
      <c r="D5" s="5">
        <f>Assumptions!$D$158</f>
        <v>2.5000000000000001E-2</v>
      </c>
      <c r="E5" s="5">
        <f>Assumptions!$D$159</f>
        <v>0.03</v>
      </c>
      <c r="F5" s="5">
        <f>Assumptions!$D$160</f>
        <v>3.5000000000000003E-2</v>
      </c>
    </row>
    <row r="6" spans="1:6" x14ac:dyDescent="0.25">
      <c r="A6" s="5">
        <f>Assumptions!$D$151</f>
        <v>0.10575</v>
      </c>
      <c r="B6" s="44">
        <f>((DCF!$B$46/(1+Assumptions!$D$151)^DCF!$B$47+DCF!$C$46/(1+Assumptions!$D$151)^DCF!$C$47+DCF!$D$46/(1+Assumptions!$D$151)^DCF!$D$47+DCF!$E$46/(1+Assumptions!$D$151)^DCF!$E$47+DCF!$F$46/(1+Assumptions!$D$151)^DCF!$F$47+DCF!$F$46*(1+Assumptions!$D$156)/(Assumptions!$D$151-Assumptions!$D$156)/(1+Assumptions!$D$151)^DCF!$F$47)-DCF!$B$62+DCF!$B$63-DCF!$B$64)/DCF!$B$66/DCF!$B$68</f>
        <v>48.004265916801309</v>
      </c>
      <c r="C6" s="44">
        <f>((DCF!$B$46/(1+Assumptions!$D$151)^DCF!$B$47+DCF!$C$46/(1+Assumptions!$D$151)^DCF!$C$47+DCF!$D$46/(1+Assumptions!$D$151)^DCF!$D$47+DCF!$E$46/(1+Assumptions!$D$151)^DCF!$E$47+DCF!$F$46/(1+Assumptions!$D$151)^DCF!$F$47+DCF!$F$46*(1+Assumptions!$D$157)/(Assumptions!$D$151-Assumptions!$D$157)/(1+Assumptions!$D$151)^DCF!$F$47)-DCF!$B$62+DCF!$B$63-DCF!$B$64)/DCF!$B$66/DCF!$B$68</f>
        <v>50.163766624130659</v>
      </c>
      <c r="D6" s="44">
        <f>((DCF!$B$46/(1+Assumptions!$D$151)^DCF!$B$47+DCF!$C$46/(1+Assumptions!$D$151)^DCF!$C$47+DCF!$D$46/(1+Assumptions!$D$151)^DCF!$D$47+DCF!$E$46/(1+Assumptions!$D$151)^DCF!$E$47+DCF!$F$46/(1+Assumptions!$D$151)^DCF!$F$47+DCF!$F$46*(1+Assumptions!$D$158)/(Assumptions!$D$151-Assumptions!$D$158)/(1+Assumptions!$D$151)^DCF!$F$47)-DCF!$B$62+DCF!$B$63-DCF!$B$64)/DCF!$B$66/DCF!$B$68</f>
        <v>52.590697759612233</v>
      </c>
      <c r="E6" s="44">
        <f>((DCF!$B$46/(1+Assumptions!$D$151)^DCF!$B$47+DCF!$C$46/(1+Assumptions!$D$151)^DCF!$C$47+DCF!$D$46/(1+Assumptions!$D$151)^DCF!$D$47+DCF!$E$46/(1+Assumptions!$D$151)^DCF!$E$47+DCF!$F$46/(1+Assumptions!$D$151)^DCF!$F$47+DCF!$F$46*(1+Assumptions!$D$159)/(Assumptions!$D$151-Assumptions!$D$159)/(1+Assumptions!$D$151)^DCF!$F$47)-DCF!$B$62+DCF!$B$63-DCF!$B$64)/DCF!$B$66/DCF!$B$68</f>
        <v>55.338015843672238</v>
      </c>
      <c r="F6" s="44">
        <f>((DCF!$B$46/(1+Assumptions!$D$151)^DCF!$B$47+DCF!$C$46/(1+Assumptions!$D$151)^DCF!$C$47+DCF!$D$46/(1+Assumptions!$D$151)^DCF!$D$47+DCF!$E$46/(1+Assumptions!$D$151)^DCF!$E$47+DCF!$F$46/(1+Assumptions!$D$151)^DCF!$F$47+DCF!$F$46*(1+Assumptions!$D$160)/(Assumptions!$D$151-Assumptions!$D$160)/(1+Assumptions!$D$151)^DCF!$F$47)-DCF!$B$62+DCF!$B$63-DCF!$B$64)/DCF!$B$66/DCF!$B$68</f>
        <v>58.473647437846729</v>
      </c>
    </row>
    <row r="7" spans="1:6" x14ac:dyDescent="0.25">
      <c r="A7" s="5">
        <f>Assumptions!$D$152</f>
        <v>0.11075</v>
      </c>
      <c r="B7" s="44">
        <f>((DCF!$B$46/(1+Assumptions!$D$152)^DCF!$B$47+DCF!$C$46/(1+Assumptions!$D$152)^DCF!$C$47+DCF!$D$46/(1+Assumptions!$D$152)^DCF!$D$47+DCF!$E$46/(1+Assumptions!$D$152)^DCF!$E$47+DCF!$F$46/(1+Assumptions!$D$152)^DCF!$F$47+DCF!$F$46*(1+Assumptions!$D$156)/(Assumptions!$D$152-Assumptions!$D$156)/(1+Assumptions!$D$152)^DCF!$F$47)-DCF!$B$62+DCF!$B$63-DCF!$B$64)/DCF!$B$66/DCF!$B$68</f>
        <v>45.440511023912833</v>
      </c>
      <c r="C7" s="44">
        <f>((DCF!$B$46/(1+Assumptions!$D$152)^DCF!$B$47+DCF!$C$46/(1+Assumptions!$D$152)^DCF!$C$47+DCF!$D$46/(1+Assumptions!$D$152)^DCF!$D$47+DCF!$E$46/(1+Assumptions!$D$152)^DCF!$E$47+DCF!$F$46/(1+Assumptions!$D$152)^DCF!$F$47+DCF!$F$46*(1+Assumptions!$D$157)/(Assumptions!$D$152-Assumptions!$D$157)/(1+Assumptions!$D$152)^DCF!$F$47)-DCF!$B$62+DCF!$B$63-DCF!$B$64)/DCF!$B$66/DCF!$B$68</f>
        <v>47.344177614805595</v>
      </c>
      <c r="D7" s="44">
        <f>((DCF!$B$46/(1+Assumptions!$D$152)^DCF!$B$47+DCF!$C$46/(1+Assumptions!$D$152)^DCF!$C$47+DCF!$D$46/(1+Assumptions!$D$152)^DCF!$D$47+DCF!$E$46/(1+Assumptions!$D$152)^DCF!$E$47+DCF!$F$46/(1+Assumptions!$D$152)^DCF!$F$47+DCF!$F$46*(1+Assumptions!$D$158)/(Assumptions!$D$152-Assumptions!$D$158)/(1+Assumptions!$D$152)^DCF!$F$47)-DCF!$B$62+DCF!$B$63-DCF!$B$64)/DCF!$B$66/DCF!$B$68</f>
        <v>49.469846140496351</v>
      </c>
      <c r="E7" s="44">
        <f>((DCF!$B$46/(1+Assumptions!$D$152)^DCF!$B$47+DCF!$C$46/(1+Assumptions!$D$152)^DCF!$C$47+DCF!$D$46/(1+Assumptions!$D$152)^DCF!$D$47+DCF!$E$46/(1+Assumptions!$D$152)^DCF!$E$47+DCF!$F$46/(1+Assumptions!$D$152)^DCF!$F$47+DCF!$F$46*(1+Assumptions!$D$159)/(Assumptions!$D$152-Assumptions!$D$159)/(1+Assumptions!$D$152)^DCF!$F$47)-DCF!$B$62+DCF!$B$63-DCF!$B$64)/DCF!$B$66/DCF!$B$68</f>
        <v>51.858755350483179</v>
      </c>
      <c r="F7" s="44">
        <f>((DCF!$B$46/(1+Assumptions!$D$152)^DCF!$B$47+DCF!$C$46/(1+Assumptions!$D$152)^DCF!$C$47+DCF!$D$46/(1+Assumptions!$D$152)^DCF!$D$47+DCF!$E$46/(1+Assumptions!$D$152)^DCF!$E$47+DCF!$F$46/(1+Assumptions!$D$152)^DCF!$F$47+DCF!$F$46*(1+Assumptions!$D$160)/(Assumptions!$D$152-Assumptions!$D$160)/(1+Assumptions!$D$152)^DCF!$F$47)-DCF!$B$62+DCF!$B$63-DCF!$B$64)/DCF!$B$66/DCF!$B$68</f>
        <v>54.563032112943503</v>
      </c>
    </row>
    <row r="8" spans="1:6" x14ac:dyDescent="0.25">
      <c r="A8" s="5">
        <f>Assumptions!$D$153</f>
        <v>0.11575000000000001</v>
      </c>
      <c r="B8" s="44">
        <f>((DCF!$B$46/(1+Assumptions!$D$153)^DCF!$B$47+DCF!$C$46/(1+Assumptions!$D$153)^DCF!$C$47+DCF!$D$46/(1+Assumptions!$D$153)^DCF!$D$47+DCF!$E$46/(1+Assumptions!$D$153)^DCF!$E$47+DCF!$F$46/(1+Assumptions!$D$153)^DCF!$F$47+DCF!$F$46*(1+Assumptions!$D$156)/(Assumptions!$D$153-Assumptions!$D$156)/(1+Assumptions!$D$153)^DCF!$F$47)-DCF!$B$62+DCF!$B$63-DCF!$B$64)/DCF!$B$66/DCF!$B$68</f>
        <v>43.135132702736783</v>
      </c>
      <c r="C8" s="44">
        <f>((DCF!$B$46/(1+Assumptions!$D$153)^DCF!$B$47+DCF!$C$46/(1+Assumptions!$D$153)^DCF!$C$47+DCF!$D$46/(1+Assumptions!$D$153)^DCF!$D$47+DCF!$E$46/(1+Assumptions!$D$153)^DCF!$E$47+DCF!$F$46/(1+Assumptions!$D$153)^DCF!$F$47+DCF!$F$46*(1+Assumptions!$D$157)/(Assumptions!$D$153-Assumptions!$D$157)/(1+Assumptions!$D$153)^DCF!$F$47)-DCF!$B$62+DCF!$B$63-DCF!$B$64)/DCF!$B$66/DCF!$B$68</f>
        <v>44.823105562325559</v>
      </c>
      <c r="D8" s="45">
        <f>((DCF!$B$46/(1+Assumptions!$D$153)^DCF!$B$47+DCF!$C$46/(1+Assumptions!$D$153)^DCF!$C$47+DCF!$D$46/(1+Assumptions!$D$153)^DCF!$D$47+DCF!$E$46/(1+Assumptions!$D$153)^DCF!$E$47+DCF!$F$46/(1+Assumptions!$D$153)^DCF!$F$47+DCF!$F$46*(1+Assumptions!$D$158)/(Assumptions!$D$153-Assumptions!$D$158)/(1+Assumptions!$D$153)^DCF!$F$47)-DCF!$B$62+DCF!$B$63-DCF!$B$64)/DCF!$B$66/DCF!$B$68</f>
        <v>46.697080940877271</v>
      </c>
      <c r="E8" s="44">
        <f>((DCF!$B$46/(1+Assumptions!$D$153)^DCF!$B$47+DCF!$C$46/(1+Assumptions!$D$153)^DCF!$C$47+DCF!$D$46/(1+Assumptions!$D$153)^DCF!$D$47+DCF!$E$46/(1+Assumptions!$D$153)^DCF!$E$47+DCF!$F$46/(1+Assumptions!$D$153)^DCF!$F$47+DCF!$F$46*(1+Assumptions!$D$159)/(Assumptions!$D$153-Assumptions!$D$159)/(1+Assumptions!$D$153)^DCF!$F$47)-DCF!$B$62+DCF!$B$63-DCF!$B$64)/DCF!$B$66/DCF!$B$68</f>
        <v>48.789595722175541</v>
      </c>
      <c r="F8" s="44">
        <f>((DCF!$B$46/(1+Assumptions!$D$153)^DCF!$B$47+DCF!$C$46/(1+Assumptions!$D$153)^DCF!$C$47+DCF!$D$46/(1+Assumptions!$D$153)^DCF!$D$47+DCF!$E$46/(1+Assumptions!$D$153)^DCF!$E$47+DCF!$F$46/(1+Assumptions!$D$153)^DCF!$F$47+DCF!$F$46*(1+Assumptions!$D$160)/(Assumptions!$D$153-Assumptions!$D$160)/(1+Assumptions!$D$153)^DCF!$F$47)-DCF!$B$62+DCF!$B$63-DCF!$B$64)/DCF!$B$66/DCF!$B$68</f>
        <v>51.141245460910127</v>
      </c>
    </row>
    <row r="9" spans="1:6" x14ac:dyDescent="0.25">
      <c r="A9" s="5">
        <f>Assumptions!$D$154</f>
        <v>0.12075</v>
      </c>
      <c r="B9" s="44">
        <f>((DCF!$B$46/(1+Assumptions!$D$154)^DCF!$B$47+DCF!$C$46/(1+Assumptions!$D$154)^DCF!$C$47+DCF!$D$46/(1+Assumptions!$D$154)^DCF!$D$47+DCF!$E$46/(1+Assumptions!$D$154)^DCF!$E$47+DCF!$F$46/(1+Assumptions!$D$154)^DCF!$F$47+DCF!$F$46*(1+Assumptions!$D$156)/(Assumptions!$D$154-Assumptions!$D$156)/(1+Assumptions!$D$154)^DCF!$F$47)-DCF!$B$62+DCF!$B$63-DCF!$B$64)/DCF!$B$66/DCF!$B$68</f>
        <v>41.051400515401625</v>
      </c>
      <c r="C9" s="44">
        <f>((DCF!$B$46/(1+Assumptions!$D$154)^DCF!$B$47+DCF!$C$46/(1+Assumptions!$D$154)^DCF!$C$47+DCF!$D$46/(1+Assumptions!$D$154)^DCF!$D$47+DCF!$E$46/(1+Assumptions!$D$154)^DCF!$E$47+DCF!$F$46/(1+Assumptions!$D$154)^DCF!$F$47+DCF!$F$46*(1+Assumptions!$D$157)/(Assumptions!$D$154-Assumptions!$D$157)/(1+Assumptions!$D$154)^DCF!$F$47)-DCF!$B$62+DCF!$B$63-DCF!$B$64)/DCF!$B$66/DCF!$B$68</f>
        <v>42.556022433446564</v>
      </c>
      <c r="D9" s="44">
        <f>((DCF!$B$46/(1+Assumptions!$D$154)^DCF!$B$47+DCF!$C$46/(1+Assumptions!$D$154)^DCF!$C$47+DCF!$D$46/(1+Assumptions!$D$154)^DCF!$D$47+DCF!$E$46/(1+Assumptions!$D$154)^DCF!$E$47+DCF!$F$46/(1+Assumptions!$D$154)^DCF!$F$47+DCF!$F$46*(1+Assumptions!$D$158)/(Assumptions!$D$154-Assumptions!$D$158)/(1+Assumptions!$D$154)^DCF!$F$47)-DCF!$B$62+DCF!$B$63-DCF!$B$64)/DCF!$B$66/DCF!$B$68</f>
        <v>44.217785021783385</v>
      </c>
      <c r="E9" s="44">
        <f>((DCF!$B$46/(1+Assumptions!$D$154)^DCF!$B$47+DCF!$C$46/(1+Assumptions!$D$154)^DCF!$C$47+DCF!$D$46/(1+Assumptions!$D$154)^DCF!$D$47+DCF!$E$46/(1+Assumptions!$D$154)^DCF!$E$47+DCF!$F$46/(1+Assumptions!$D$154)^DCF!$F$47+DCF!$F$46*(1+Assumptions!$D$159)/(Assumptions!$D$154-Assumptions!$D$159)/(1+Assumptions!$D$154)^DCF!$F$47)-DCF!$B$62+DCF!$B$63-DCF!$B$64)/DCF!$B$66/DCF!$B$68</f>
        <v>46.062661944923171</v>
      </c>
      <c r="F9" s="44">
        <f>((DCF!$B$46/(1+Assumptions!$D$154)^DCF!$B$47+DCF!$C$46/(1+Assumptions!$D$154)^DCF!$C$47+DCF!$D$46/(1+Assumptions!$D$154)^DCF!$D$47+DCF!$E$46/(1+Assumptions!$D$154)^DCF!$E$47+DCF!$F$46/(1+Assumptions!$D$154)^DCF!$F$47+DCF!$F$46*(1+Assumptions!$D$160)/(Assumptions!$D$154-Assumptions!$D$160)/(1+Assumptions!$D$154)^DCF!$F$47)-DCF!$B$62+DCF!$B$63-DCF!$B$64)/DCF!$B$66/DCF!$B$68</f>
        <v>48.122684864930569</v>
      </c>
    </row>
    <row r="10" spans="1:6" x14ac:dyDescent="0.25">
      <c r="A10" s="5">
        <f>Assumptions!$D$155</f>
        <v>0.12575</v>
      </c>
      <c r="B10" s="44">
        <f>((DCF!$B$46/(1+Assumptions!$D$155)^DCF!$B$47+DCF!$C$46/(1+Assumptions!$D$155)^DCF!$C$47+DCF!$D$46/(1+Assumptions!$D$155)^DCF!$D$47+DCF!$E$46/(1+Assumptions!$D$155)^DCF!$E$47+DCF!$F$46/(1+Assumptions!$D$155)^DCF!$F$47+DCF!$F$46*(1+Assumptions!$D$156)/(Assumptions!$D$155-Assumptions!$D$156)/(1+Assumptions!$D$155)^DCF!$F$47)-DCF!$B$62+DCF!$B$63-DCF!$B$64)/DCF!$B$66/DCF!$B$68</f>
        <v>39.159219121948645</v>
      </c>
      <c r="C10" s="44">
        <f>((DCF!$B$46/(1+Assumptions!$D$155)^DCF!$B$47+DCF!$C$46/(1+Assumptions!$D$155)^DCF!$C$47+DCF!$D$46/(1+Assumptions!$D$155)^DCF!$D$47+DCF!$E$46/(1+Assumptions!$D$155)^DCF!$E$47+DCF!$F$46/(1+Assumptions!$D$155)^DCF!$F$47+DCF!$F$46*(1+Assumptions!$D$157)/(Assumptions!$D$155-Assumptions!$D$157)/(1+Assumptions!$D$155)^DCF!$F$47)-DCF!$B$62+DCF!$B$63-DCF!$B$64)/DCF!$B$66/DCF!$B$68</f>
        <v>40.506823693331512</v>
      </c>
      <c r="D10" s="44">
        <f>((DCF!$B$46/(1+Assumptions!$D$155)^DCF!$B$47+DCF!$C$46/(1+Assumptions!$D$155)^DCF!$C$47+DCF!$D$46/(1+Assumptions!$D$155)^DCF!$D$47+DCF!$E$46/(1+Assumptions!$D$155)^DCF!$E$47+DCF!$F$46/(1+Assumptions!$D$155)^DCF!$F$47+DCF!$F$46*(1+Assumptions!$D$158)/(Assumptions!$D$155-Assumptions!$D$158)/(1+Assumptions!$D$155)^DCF!$F$47)-DCF!$B$62+DCF!$B$63-DCF!$B$64)/DCF!$B$66/DCF!$B$68</f>
        <v>41.98818554227099</v>
      </c>
      <c r="E10" s="44">
        <f>((DCF!$B$46/(1+Assumptions!$D$155)^DCF!$B$47+DCF!$C$46/(1+Assumptions!$D$155)^DCF!$C$47+DCF!$D$46/(1+Assumptions!$D$155)^DCF!$D$47+DCF!$E$46/(1+Assumptions!$D$155)^DCF!$E$47+DCF!$F$46/(1+Assumptions!$D$155)^DCF!$F$47+DCF!$F$46*(1+Assumptions!$D$159)/(Assumptions!$D$155-Assumptions!$D$159)/(1+Assumptions!$D$155)^DCF!$F$47)-DCF!$B$62+DCF!$B$63-DCF!$B$64)/DCF!$B$66/DCF!$B$68</f>
        <v>43.624258811465261</v>
      </c>
      <c r="F10" s="44">
        <f>((DCF!$B$46/(1+Assumptions!$D$155)^DCF!$B$47+DCF!$C$46/(1+Assumptions!$D$155)^DCF!$C$47+DCF!$D$46/(1+Assumptions!$D$155)^DCF!$D$47+DCF!$E$46/(1+Assumptions!$D$155)^DCF!$E$47+DCF!$F$46/(1+Assumptions!$D$155)^DCF!$F$47+DCF!$F$46*(1+Assumptions!$D$160)/(Assumptions!$D$155-Assumptions!$D$160)/(1+Assumptions!$D$155)^DCF!$F$47)-DCF!$B$62+DCF!$B$63-DCF!$B$64)/DCF!$B$66/DCF!$B$68</f>
        <v>45.440615636493597</v>
      </c>
    </row>
    <row r="13" spans="1:6" ht="18.95" customHeight="1" x14ac:dyDescent="0.25">
      <c r="A13" s="48" t="s">
        <v>285</v>
      </c>
      <c r="B13" s="49"/>
      <c r="C13" s="49"/>
      <c r="D13" s="49"/>
      <c r="E13" s="49"/>
      <c r="F13" s="49"/>
    </row>
    <row r="14" spans="1:6" ht="25.5" x14ac:dyDescent="0.25">
      <c r="A14" s="1" t="s">
        <v>286</v>
      </c>
      <c r="B14" s="5">
        <f>Assumptions!$D$166</f>
        <v>-0.03</v>
      </c>
      <c r="C14" s="5">
        <f>Assumptions!$D$167</f>
        <v>-1.4999999999999999E-2</v>
      </c>
      <c r="D14" s="5">
        <f>Assumptions!$D$168</f>
        <v>0</v>
      </c>
      <c r="E14" s="5">
        <f>Assumptions!$D$169</f>
        <v>1.4999999999999999E-2</v>
      </c>
      <c r="F14" s="5">
        <f>Assumptions!$D$170</f>
        <v>0.03</v>
      </c>
    </row>
    <row r="15" spans="1:6" x14ac:dyDescent="0.25">
      <c r="A15" s="5">
        <f>Assumptions!$D$161</f>
        <v>-0.04</v>
      </c>
      <c r="B15" s="44">
        <f>((((DCF!$B$39*(1+Assumptions!$D$161)^1)*(DCF!$B$40/DCF!$B$39+Assumptions!$D$166)*(1-(-DCF!$B$41/DCF!$B$40))+DCF!$B$43*(1+Assumptions!$D$161)^1-DCF!$B$44*(1+Assumptions!$D$161)^1-DCF!$B$45*(1+Assumptions!$D$161)^1)/(1+DCF!$B$33)^DCF!$B$47+((DCF!$C$39*(1+Assumptions!$D$161)^2)*(DCF!$C$40/DCF!$C$39+Assumptions!$D$166)*(1-(-DCF!$C$41/DCF!$C$40))+DCF!$C$43*(1+Assumptions!$D$161)^2-DCF!$C$44*(1+Assumptions!$D$161)^2-DCF!$C$45*(1+Assumptions!$D$161)^2)/(1+DCF!$B$33)^DCF!$C$47+((DCF!$D$39*(1+Assumptions!$D$161)^3)*(DCF!$D$40/DCF!$D$39+Assumptions!$D$166)*(1-(-DCF!$D$41/DCF!$D$40))+DCF!$D$43*(1+Assumptions!$D$161)^3-DCF!$D$44*(1+Assumptions!$D$161)^3-DCF!$D$45*(1+Assumptions!$D$161)^3)/(1+DCF!$B$33)^DCF!$D$47+((DCF!$E$39*(1+Assumptions!$D$161)^4)*(DCF!$E$40/DCF!$E$39+Assumptions!$D$166)*(1-(-DCF!$E$41/DCF!$E$40))+DCF!$E$43*(1+Assumptions!$D$161)^4-DCF!$E$44*(1+Assumptions!$D$161)^4-DCF!$E$45*(1+Assumptions!$D$161)^4)/(1+DCF!$B$33)^DCF!$E$47+((DCF!$F$39*(1+Assumptions!$D$161)^5)*(DCF!$F$40/DCF!$F$39+Assumptions!$D$166)*(1-(-DCF!$F$41/DCF!$F$40))+DCF!$F$43*(1+Assumptions!$D$161)^5-DCF!$F$44*(1+Assumptions!$D$161)^5-DCF!$F$45*(1+Assumptions!$D$161)^5)/(1+DCF!$B$33)^DCF!$F$47+((DCF!$F$39*(1+Assumptions!$D$161)^5)*(DCF!$F$40/DCF!$F$39+Assumptions!$D$166)*(1-(-DCF!$F$41/DCF!$F$40))+DCF!$F$43*(1+Assumptions!$D$161)^5-DCF!$F$44*(1+Assumptions!$D$161)^5-DCF!$F$45*(1+Assumptions!$D$161)^5)*(1+DCF!$F$53)/(DCF!$B$33-DCF!$F$53)/(1+DCF!$B$33)^DCF!$F$47)-DCF!$B$62+DCF!$B$63-DCF!$B$64)/DCF!$B$66/DCF!$B$68</f>
        <v>28.782109400840884</v>
      </c>
      <c r="C15" s="44">
        <f>((((DCF!$B$39*(1+Assumptions!$D$161)^1)*(DCF!$B$40/DCF!$B$39+Assumptions!$D$167)*(1-(-DCF!$B$41/DCF!$B$40))+DCF!$B$43*(1+Assumptions!$D$161)^1-DCF!$B$44*(1+Assumptions!$D$161)^1-DCF!$B$45*(1+Assumptions!$D$161)^1)/(1+DCF!$B$33)^DCF!$B$47+((DCF!$C$39*(1+Assumptions!$D$161)^2)*(DCF!$C$40/DCF!$C$39+Assumptions!$D$167)*(1-(-DCF!$C$41/DCF!$C$40))+DCF!$C$43*(1+Assumptions!$D$161)^2-DCF!$C$44*(1+Assumptions!$D$161)^2-DCF!$C$45*(1+Assumptions!$D$161)^2)/(1+DCF!$B$33)^DCF!$C$47+((DCF!$D$39*(1+Assumptions!$D$161)^3)*(DCF!$D$40/DCF!$D$39+Assumptions!$D$167)*(1-(-DCF!$D$41/DCF!$D$40))+DCF!$D$43*(1+Assumptions!$D$161)^3-DCF!$D$44*(1+Assumptions!$D$161)^3-DCF!$D$45*(1+Assumptions!$D$161)^3)/(1+DCF!$B$33)^DCF!$D$47+((DCF!$E$39*(1+Assumptions!$D$161)^4)*(DCF!$E$40/DCF!$E$39+Assumptions!$D$167)*(1-(-DCF!$E$41/DCF!$E$40))+DCF!$E$43*(1+Assumptions!$D$161)^4-DCF!$E$44*(1+Assumptions!$D$161)^4-DCF!$E$45*(1+Assumptions!$D$161)^4)/(1+DCF!$B$33)^DCF!$E$47+((DCF!$F$39*(1+Assumptions!$D$161)^5)*(DCF!$F$40/DCF!$F$39+Assumptions!$D$167)*(1-(-DCF!$F$41/DCF!$F$40))+DCF!$F$43*(1+Assumptions!$D$161)^5-DCF!$F$44*(1+Assumptions!$D$161)^5-DCF!$F$45*(1+Assumptions!$D$161)^5)/(1+DCF!$B$33)^DCF!$F$47+((DCF!$F$39*(1+Assumptions!$D$161)^5)*(DCF!$F$40/DCF!$F$39+Assumptions!$D$167)*(1-(-DCF!$F$41/DCF!$F$40))+DCF!$F$43*(1+Assumptions!$D$161)^5-DCF!$F$44*(1+Assumptions!$D$161)^5-DCF!$F$45*(1+Assumptions!$D$161)^5)*(1+DCF!$F$53)/(DCF!$B$33-DCF!$F$53)/(1+DCF!$B$33)^DCF!$F$47)-DCF!$B$62+DCF!$B$63-DCF!$B$64)/DCF!$B$66/DCF!$B$68</f>
        <v>34.022425270030354</v>
      </c>
      <c r="D15" s="44">
        <f>((((DCF!$B$39*(1+Assumptions!$D$161)^1)*(DCF!$B$40/DCF!$B$39+Assumptions!$D$168)*(1-(-DCF!$B$41/DCF!$B$40))+DCF!$B$43*(1+Assumptions!$D$161)^1-DCF!$B$44*(1+Assumptions!$D$161)^1-DCF!$B$45*(1+Assumptions!$D$161)^1)/(1+DCF!$B$33)^DCF!$B$47+((DCF!$C$39*(1+Assumptions!$D$161)^2)*(DCF!$C$40/DCF!$C$39+Assumptions!$D$168)*(1-(-DCF!$C$41/DCF!$C$40))+DCF!$C$43*(1+Assumptions!$D$161)^2-DCF!$C$44*(1+Assumptions!$D$161)^2-DCF!$C$45*(1+Assumptions!$D$161)^2)/(1+DCF!$B$33)^DCF!$C$47+((DCF!$D$39*(1+Assumptions!$D$161)^3)*(DCF!$D$40/DCF!$D$39+Assumptions!$D$168)*(1-(-DCF!$D$41/DCF!$D$40))+DCF!$D$43*(1+Assumptions!$D$161)^3-DCF!$D$44*(1+Assumptions!$D$161)^3-DCF!$D$45*(1+Assumptions!$D$161)^3)/(1+DCF!$B$33)^DCF!$D$47+((DCF!$E$39*(1+Assumptions!$D$161)^4)*(DCF!$E$40/DCF!$E$39+Assumptions!$D$168)*(1-(-DCF!$E$41/DCF!$E$40))+DCF!$E$43*(1+Assumptions!$D$161)^4-DCF!$E$44*(1+Assumptions!$D$161)^4-DCF!$E$45*(1+Assumptions!$D$161)^4)/(1+DCF!$B$33)^DCF!$E$47+((DCF!$F$39*(1+Assumptions!$D$161)^5)*(DCF!$F$40/DCF!$F$39+Assumptions!$D$168)*(1-(-DCF!$F$41/DCF!$F$40))+DCF!$F$43*(1+Assumptions!$D$161)^5-DCF!$F$44*(1+Assumptions!$D$161)^5-DCF!$F$45*(1+Assumptions!$D$161)^5)/(1+DCF!$B$33)^DCF!$F$47+((DCF!$F$39*(1+Assumptions!$D$161)^5)*(DCF!$F$40/DCF!$F$39+Assumptions!$D$168)*(1-(-DCF!$F$41/DCF!$F$40))+DCF!$F$43*(1+Assumptions!$D$161)^5-DCF!$F$44*(1+Assumptions!$D$161)^5-DCF!$F$45*(1+Assumptions!$D$161)^5)*(1+DCF!$F$53)/(DCF!$B$33-DCF!$F$53)/(1+DCF!$B$33)^DCF!$F$47)-DCF!$B$62+DCF!$B$63-DCF!$B$64)/DCF!$B$66/DCF!$B$68</f>
        <v>39.262741139219827</v>
      </c>
      <c r="E15" s="44">
        <f>((((DCF!$B$39*(1+Assumptions!$D$161)^1)*(DCF!$B$40/DCF!$B$39+Assumptions!$D$169)*(1-(-DCF!$B$41/DCF!$B$40))+DCF!$B$43*(1+Assumptions!$D$161)^1-DCF!$B$44*(1+Assumptions!$D$161)^1-DCF!$B$45*(1+Assumptions!$D$161)^1)/(1+DCF!$B$33)^DCF!$B$47+((DCF!$C$39*(1+Assumptions!$D$161)^2)*(DCF!$C$40/DCF!$C$39+Assumptions!$D$169)*(1-(-DCF!$C$41/DCF!$C$40))+DCF!$C$43*(1+Assumptions!$D$161)^2-DCF!$C$44*(1+Assumptions!$D$161)^2-DCF!$C$45*(1+Assumptions!$D$161)^2)/(1+DCF!$B$33)^DCF!$C$47+((DCF!$D$39*(1+Assumptions!$D$161)^3)*(DCF!$D$40/DCF!$D$39+Assumptions!$D$169)*(1-(-DCF!$D$41/DCF!$D$40))+DCF!$D$43*(1+Assumptions!$D$161)^3-DCF!$D$44*(1+Assumptions!$D$161)^3-DCF!$D$45*(1+Assumptions!$D$161)^3)/(1+DCF!$B$33)^DCF!$D$47+((DCF!$E$39*(1+Assumptions!$D$161)^4)*(DCF!$E$40/DCF!$E$39+Assumptions!$D$169)*(1-(-DCF!$E$41/DCF!$E$40))+DCF!$E$43*(1+Assumptions!$D$161)^4-DCF!$E$44*(1+Assumptions!$D$161)^4-DCF!$E$45*(1+Assumptions!$D$161)^4)/(1+DCF!$B$33)^DCF!$E$47+((DCF!$F$39*(1+Assumptions!$D$161)^5)*(DCF!$F$40/DCF!$F$39+Assumptions!$D$169)*(1-(-DCF!$F$41/DCF!$F$40))+DCF!$F$43*(1+Assumptions!$D$161)^5-DCF!$F$44*(1+Assumptions!$D$161)^5-DCF!$F$45*(1+Assumptions!$D$161)^5)/(1+DCF!$B$33)^DCF!$F$47+((DCF!$F$39*(1+Assumptions!$D$161)^5)*(DCF!$F$40/DCF!$F$39+Assumptions!$D$169)*(1-(-DCF!$F$41/DCF!$F$40))+DCF!$F$43*(1+Assumptions!$D$161)^5-DCF!$F$44*(1+Assumptions!$D$161)^5-DCF!$F$45*(1+Assumptions!$D$161)^5)*(1+DCF!$F$53)/(DCF!$B$33-DCF!$F$53)/(1+DCF!$B$33)^DCF!$F$47)-DCF!$B$62+DCF!$B$63-DCF!$B$64)/DCF!$B$66/DCF!$B$68</f>
        <v>44.5030570084093</v>
      </c>
      <c r="F15" s="44">
        <f>((((DCF!$B$39*(1+Assumptions!$D$161)^1)*(DCF!$B$40/DCF!$B$39+Assumptions!$D$170)*(1-(-DCF!$B$41/DCF!$B$40))+DCF!$B$43*(1+Assumptions!$D$161)^1-DCF!$B$44*(1+Assumptions!$D$161)^1-DCF!$B$45*(1+Assumptions!$D$161)^1)/(1+DCF!$B$33)^DCF!$B$47+((DCF!$C$39*(1+Assumptions!$D$161)^2)*(DCF!$C$40/DCF!$C$39+Assumptions!$D$170)*(1-(-DCF!$C$41/DCF!$C$40))+DCF!$C$43*(1+Assumptions!$D$161)^2-DCF!$C$44*(1+Assumptions!$D$161)^2-DCF!$C$45*(1+Assumptions!$D$161)^2)/(1+DCF!$B$33)^DCF!$C$47+((DCF!$D$39*(1+Assumptions!$D$161)^3)*(DCF!$D$40/DCF!$D$39+Assumptions!$D$170)*(1-(-DCF!$D$41/DCF!$D$40))+DCF!$D$43*(1+Assumptions!$D$161)^3-DCF!$D$44*(1+Assumptions!$D$161)^3-DCF!$D$45*(1+Assumptions!$D$161)^3)/(1+DCF!$B$33)^DCF!$D$47+((DCF!$E$39*(1+Assumptions!$D$161)^4)*(DCF!$E$40/DCF!$E$39+Assumptions!$D$170)*(1-(-DCF!$E$41/DCF!$E$40))+DCF!$E$43*(1+Assumptions!$D$161)^4-DCF!$E$44*(1+Assumptions!$D$161)^4-DCF!$E$45*(1+Assumptions!$D$161)^4)/(1+DCF!$B$33)^DCF!$E$47+((DCF!$F$39*(1+Assumptions!$D$161)^5)*(DCF!$F$40/DCF!$F$39+Assumptions!$D$170)*(1-(-DCF!$F$41/DCF!$F$40))+DCF!$F$43*(1+Assumptions!$D$161)^5-DCF!$F$44*(1+Assumptions!$D$161)^5-DCF!$F$45*(1+Assumptions!$D$161)^5)/(1+DCF!$B$33)^DCF!$F$47+((DCF!$F$39*(1+Assumptions!$D$161)^5)*(DCF!$F$40/DCF!$F$39+Assumptions!$D$170)*(1-(-DCF!$F$41/DCF!$F$40))+DCF!$F$43*(1+Assumptions!$D$161)^5-DCF!$F$44*(1+Assumptions!$D$161)^5-DCF!$F$45*(1+Assumptions!$D$161)^5)*(1+DCF!$F$53)/(DCF!$B$33-DCF!$F$53)/(1+DCF!$B$33)^DCF!$F$47)-DCF!$B$62+DCF!$B$63-DCF!$B$64)/DCF!$B$66/DCF!$B$68</f>
        <v>49.743372877598766</v>
      </c>
    </row>
    <row r="16" spans="1:6" x14ac:dyDescent="0.25">
      <c r="A16" s="5">
        <f>Assumptions!$D$162</f>
        <v>-0.02</v>
      </c>
      <c r="B16" s="44">
        <f>((((DCF!$B$39*(1+Assumptions!$D$162)^1)*(DCF!$B$40/DCF!$B$39+Assumptions!$D$166)*(1-(-DCF!$B$41/DCF!$B$40))+DCF!$B$43*(1+Assumptions!$D$162)^1-DCF!$B$44*(1+Assumptions!$D$162)^1-DCF!$B$45*(1+Assumptions!$D$162)^1)/(1+DCF!$B$33)^DCF!$B$47+((DCF!$C$39*(1+Assumptions!$D$162)^2)*(DCF!$C$40/DCF!$C$39+Assumptions!$D$166)*(1-(-DCF!$C$41/DCF!$C$40))+DCF!$C$43*(1+Assumptions!$D$162)^2-DCF!$C$44*(1+Assumptions!$D$162)^2-DCF!$C$45*(1+Assumptions!$D$162)^2)/(1+DCF!$B$33)^DCF!$C$47+((DCF!$D$39*(1+Assumptions!$D$162)^3)*(DCF!$D$40/DCF!$D$39+Assumptions!$D$166)*(1-(-DCF!$D$41/DCF!$D$40))+DCF!$D$43*(1+Assumptions!$D$162)^3-DCF!$D$44*(1+Assumptions!$D$162)^3-DCF!$D$45*(1+Assumptions!$D$162)^3)/(1+DCF!$B$33)^DCF!$D$47+((DCF!$E$39*(1+Assumptions!$D$162)^4)*(DCF!$E$40/DCF!$E$39+Assumptions!$D$166)*(1-(-DCF!$E$41/DCF!$E$40))+DCF!$E$43*(1+Assumptions!$D$162)^4-DCF!$E$44*(1+Assumptions!$D$162)^4-DCF!$E$45*(1+Assumptions!$D$162)^4)/(1+DCF!$B$33)^DCF!$E$47+((DCF!$F$39*(1+Assumptions!$D$162)^5)*(DCF!$F$40/DCF!$F$39+Assumptions!$D$166)*(1-(-DCF!$F$41/DCF!$F$40))+DCF!$F$43*(1+Assumptions!$D$162)^5-DCF!$F$44*(1+Assumptions!$D$162)^5-DCF!$F$45*(1+Assumptions!$D$162)^5)/(1+DCF!$B$33)^DCF!$F$47+((DCF!$F$39*(1+Assumptions!$D$162)^5)*(DCF!$F$40/DCF!$F$39+Assumptions!$D$166)*(1-(-DCF!$F$41/DCF!$F$40))+DCF!$F$43*(1+Assumptions!$D$162)^5-DCF!$F$44*(1+Assumptions!$D$162)^5-DCF!$F$45*(1+Assumptions!$D$162)^5)*(1+DCF!$F$53)/(DCF!$B$33-DCF!$F$53)/(1+DCF!$B$33)^DCF!$F$47)-DCF!$B$62+DCF!$B$63-DCF!$B$64)/DCF!$B$66/DCF!$B$68</f>
        <v>31.349372853545404</v>
      </c>
      <c r="C16" s="44">
        <f>((((DCF!$B$39*(1+Assumptions!$D$162)^1)*(DCF!$B$40/DCF!$B$39+Assumptions!$D$167)*(1-(-DCF!$B$41/DCF!$B$40))+DCF!$B$43*(1+Assumptions!$D$162)^1-DCF!$B$44*(1+Assumptions!$D$162)^1-DCF!$B$45*(1+Assumptions!$D$162)^1)/(1+DCF!$B$33)^DCF!$B$47+((DCF!$C$39*(1+Assumptions!$D$162)^2)*(DCF!$C$40/DCF!$C$39+Assumptions!$D$167)*(1-(-DCF!$C$41/DCF!$C$40))+DCF!$C$43*(1+Assumptions!$D$162)^2-DCF!$C$44*(1+Assumptions!$D$162)^2-DCF!$C$45*(1+Assumptions!$D$162)^2)/(1+DCF!$B$33)^DCF!$C$47+((DCF!$D$39*(1+Assumptions!$D$162)^3)*(DCF!$D$40/DCF!$D$39+Assumptions!$D$167)*(1-(-DCF!$D$41/DCF!$D$40))+DCF!$D$43*(1+Assumptions!$D$162)^3-DCF!$D$44*(1+Assumptions!$D$162)^3-DCF!$D$45*(1+Assumptions!$D$162)^3)/(1+DCF!$B$33)^DCF!$D$47+((DCF!$E$39*(1+Assumptions!$D$162)^4)*(DCF!$E$40/DCF!$E$39+Assumptions!$D$167)*(1-(-DCF!$E$41/DCF!$E$40))+DCF!$E$43*(1+Assumptions!$D$162)^4-DCF!$E$44*(1+Assumptions!$D$162)^4-DCF!$E$45*(1+Assumptions!$D$162)^4)/(1+DCF!$B$33)^DCF!$E$47+((DCF!$F$39*(1+Assumptions!$D$162)^5)*(DCF!$F$40/DCF!$F$39+Assumptions!$D$167)*(1-(-DCF!$F$41/DCF!$F$40))+DCF!$F$43*(1+Assumptions!$D$162)^5-DCF!$F$44*(1+Assumptions!$D$162)^5-DCF!$F$45*(1+Assumptions!$D$162)^5)/(1+DCF!$B$33)^DCF!$F$47+((DCF!$F$39*(1+Assumptions!$D$162)^5)*(DCF!$F$40/DCF!$F$39+Assumptions!$D$167)*(1-(-DCF!$F$41/DCF!$F$40))+DCF!$F$43*(1+Assumptions!$D$162)^5-DCF!$F$44*(1+Assumptions!$D$162)^5-DCF!$F$45*(1+Assumptions!$D$162)^5)*(1+DCF!$F$53)/(DCF!$B$33-DCF!$F$53)/(1+DCF!$B$33)^DCF!$F$47)-DCF!$B$62+DCF!$B$63-DCF!$B$64)/DCF!$B$66/DCF!$B$68</f>
        <v>37.092542747212214</v>
      </c>
      <c r="D16" s="44">
        <f>((((DCF!$B$39*(1+Assumptions!$D$162)^1)*(DCF!$B$40/DCF!$B$39+Assumptions!$D$168)*(1-(-DCF!$B$41/DCF!$B$40))+DCF!$B$43*(1+Assumptions!$D$162)^1-DCF!$B$44*(1+Assumptions!$D$162)^1-DCF!$B$45*(1+Assumptions!$D$162)^1)/(1+DCF!$B$33)^DCF!$B$47+((DCF!$C$39*(1+Assumptions!$D$162)^2)*(DCF!$C$40/DCF!$C$39+Assumptions!$D$168)*(1-(-DCF!$C$41/DCF!$C$40))+DCF!$C$43*(1+Assumptions!$D$162)^2-DCF!$C$44*(1+Assumptions!$D$162)^2-DCF!$C$45*(1+Assumptions!$D$162)^2)/(1+DCF!$B$33)^DCF!$C$47+((DCF!$D$39*(1+Assumptions!$D$162)^3)*(DCF!$D$40/DCF!$D$39+Assumptions!$D$168)*(1-(-DCF!$D$41/DCF!$D$40))+DCF!$D$43*(1+Assumptions!$D$162)^3-DCF!$D$44*(1+Assumptions!$D$162)^3-DCF!$D$45*(1+Assumptions!$D$162)^3)/(1+DCF!$B$33)^DCF!$D$47+((DCF!$E$39*(1+Assumptions!$D$162)^4)*(DCF!$E$40/DCF!$E$39+Assumptions!$D$168)*(1-(-DCF!$E$41/DCF!$E$40))+DCF!$E$43*(1+Assumptions!$D$162)^4-DCF!$E$44*(1+Assumptions!$D$162)^4-DCF!$E$45*(1+Assumptions!$D$162)^4)/(1+DCF!$B$33)^DCF!$E$47+((DCF!$F$39*(1+Assumptions!$D$162)^5)*(DCF!$F$40/DCF!$F$39+Assumptions!$D$168)*(1-(-DCF!$F$41/DCF!$F$40))+DCF!$F$43*(1+Assumptions!$D$162)^5-DCF!$F$44*(1+Assumptions!$D$162)^5-DCF!$F$45*(1+Assumptions!$D$162)^5)/(1+DCF!$B$33)^DCF!$F$47+((DCF!$F$39*(1+Assumptions!$D$162)^5)*(DCF!$F$40/DCF!$F$39+Assumptions!$D$168)*(1-(-DCF!$F$41/DCF!$F$40))+DCF!$F$43*(1+Assumptions!$D$162)^5-DCF!$F$44*(1+Assumptions!$D$162)^5-DCF!$F$45*(1+Assumptions!$D$162)^5)*(1+DCF!$F$53)/(DCF!$B$33-DCF!$F$53)/(1+DCF!$B$33)^DCF!$F$47)-DCF!$B$62+DCF!$B$63-DCF!$B$64)/DCF!$B$66/DCF!$B$68</f>
        <v>42.835712640879038</v>
      </c>
      <c r="E16" s="44">
        <f>((((DCF!$B$39*(1+Assumptions!$D$162)^1)*(DCF!$B$40/DCF!$B$39+Assumptions!$D$169)*(1-(-DCF!$B$41/DCF!$B$40))+DCF!$B$43*(1+Assumptions!$D$162)^1-DCF!$B$44*(1+Assumptions!$D$162)^1-DCF!$B$45*(1+Assumptions!$D$162)^1)/(1+DCF!$B$33)^DCF!$B$47+((DCF!$C$39*(1+Assumptions!$D$162)^2)*(DCF!$C$40/DCF!$C$39+Assumptions!$D$169)*(1-(-DCF!$C$41/DCF!$C$40))+DCF!$C$43*(1+Assumptions!$D$162)^2-DCF!$C$44*(1+Assumptions!$D$162)^2-DCF!$C$45*(1+Assumptions!$D$162)^2)/(1+DCF!$B$33)^DCF!$C$47+((DCF!$D$39*(1+Assumptions!$D$162)^3)*(DCF!$D$40/DCF!$D$39+Assumptions!$D$169)*(1-(-DCF!$D$41/DCF!$D$40))+DCF!$D$43*(1+Assumptions!$D$162)^3-DCF!$D$44*(1+Assumptions!$D$162)^3-DCF!$D$45*(1+Assumptions!$D$162)^3)/(1+DCF!$B$33)^DCF!$D$47+((DCF!$E$39*(1+Assumptions!$D$162)^4)*(DCF!$E$40/DCF!$E$39+Assumptions!$D$169)*(1-(-DCF!$E$41/DCF!$E$40))+DCF!$E$43*(1+Assumptions!$D$162)^4-DCF!$E$44*(1+Assumptions!$D$162)^4-DCF!$E$45*(1+Assumptions!$D$162)^4)/(1+DCF!$B$33)^DCF!$E$47+((DCF!$F$39*(1+Assumptions!$D$162)^5)*(DCF!$F$40/DCF!$F$39+Assumptions!$D$169)*(1-(-DCF!$F$41/DCF!$F$40))+DCF!$F$43*(1+Assumptions!$D$162)^5-DCF!$F$44*(1+Assumptions!$D$162)^5-DCF!$F$45*(1+Assumptions!$D$162)^5)/(1+DCF!$B$33)^DCF!$F$47+((DCF!$F$39*(1+Assumptions!$D$162)^5)*(DCF!$F$40/DCF!$F$39+Assumptions!$D$169)*(1-(-DCF!$F$41/DCF!$F$40))+DCF!$F$43*(1+Assumptions!$D$162)^5-DCF!$F$44*(1+Assumptions!$D$162)^5-DCF!$F$45*(1+Assumptions!$D$162)^5)*(1+DCF!$F$53)/(DCF!$B$33-DCF!$F$53)/(1+DCF!$B$33)^DCF!$F$47)-DCF!$B$62+DCF!$B$63-DCF!$B$64)/DCF!$B$66/DCF!$B$68</f>
        <v>48.578882534545848</v>
      </c>
      <c r="F16" s="44">
        <f>((((DCF!$B$39*(1+Assumptions!$D$162)^1)*(DCF!$B$40/DCF!$B$39+Assumptions!$D$170)*(1-(-DCF!$B$41/DCF!$B$40))+DCF!$B$43*(1+Assumptions!$D$162)^1-DCF!$B$44*(1+Assumptions!$D$162)^1-DCF!$B$45*(1+Assumptions!$D$162)^1)/(1+DCF!$B$33)^DCF!$B$47+((DCF!$C$39*(1+Assumptions!$D$162)^2)*(DCF!$C$40/DCF!$C$39+Assumptions!$D$170)*(1-(-DCF!$C$41/DCF!$C$40))+DCF!$C$43*(1+Assumptions!$D$162)^2-DCF!$C$44*(1+Assumptions!$D$162)^2-DCF!$C$45*(1+Assumptions!$D$162)^2)/(1+DCF!$B$33)^DCF!$C$47+((DCF!$D$39*(1+Assumptions!$D$162)^3)*(DCF!$D$40/DCF!$D$39+Assumptions!$D$170)*(1-(-DCF!$D$41/DCF!$D$40))+DCF!$D$43*(1+Assumptions!$D$162)^3-DCF!$D$44*(1+Assumptions!$D$162)^3-DCF!$D$45*(1+Assumptions!$D$162)^3)/(1+DCF!$B$33)^DCF!$D$47+((DCF!$E$39*(1+Assumptions!$D$162)^4)*(DCF!$E$40/DCF!$E$39+Assumptions!$D$170)*(1-(-DCF!$E$41/DCF!$E$40))+DCF!$E$43*(1+Assumptions!$D$162)^4-DCF!$E$44*(1+Assumptions!$D$162)^4-DCF!$E$45*(1+Assumptions!$D$162)^4)/(1+DCF!$B$33)^DCF!$E$47+((DCF!$F$39*(1+Assumptions!$D$162)^5)*(DCF!$F$40/DCF!$F$39+Assumptions!$D$170)*(1-(-DCF!$F$41/DCF!$F$40))+DCF!$F$43*(1+Assumptions!$D$162)^5-DCF!$F$44*(1+Assumptions!$D$162)^5-DCF!$F$45*(1+Assumptions!$D$162)^5)/(1+DCF!$B$33)^DCF!$F$47+((DCF!$F$39*(1+Assumptions!$D$162)^5)*(DCF!$F$40/DCF!$F$39+Assumptions!$D$170)*(1-(-DCF!$F$41/DCF!$F$40))+DCF!$F$43*(1+Assumptions!$D$162)^5-DCF!$F$44*(1+Assumptions!$D$162)^5-DCF!$F$45*(1+Assumptions!$D$162)^5)*(1+DCF!$F$53)/(DCF!$B$33-DCF!$F$53)/(1+DCF!$B$33)^DCF!$F$47)-DCF!$B$62+DCF!$B$63-DCF!$B$64)/DCF!$B$66/DCF!$B$68</f>
        <v>54.322052428212658</v>
      </c>
    </row>
    <row r="17" spans="1:6" x14ac:dyDescent="0.25">
      <c r="A17" s="5">
        <f>Assumptions!$D$163</f>
        <v>0</v>
      </c>
      <c r="B17" s="44">
        <f>((((DCF!$B$39*(1+Assumptions!$D$163)^1)*(DCF!$B$40/DCF!$B$39+Assumptions!$D$166)*(1-(-DCF!$B$41/DCF!$B$40))+DCF!$B$43*(1+Assumptions!$D$163)^1-DCF!$B$44*(1+Assumptions!$D$163)^1-DCF!$B$45*(1+Assumptions!$D$163)^1)/(1+DCF!$B$33)^DCF!$B$47+((DCF!$C$39*(1+Assumptions!$D$163)^2)*(DCF!$C$40/DCF!$C$39+Assumptions!$D$166)*(1-(-DCF!$C$41/DCF!$C$40))+DCF!$C$43*(1+Assumptions!$D$163)^2-DCF!$C$44*(1+Assumptions!$D$163)^2-DCF!$C$45*(1+Assumptions!$D$163)^2)/(1+DCF!$B$33)^DCF!$C$47+((DCF!$D$39*(1+Assumptions!$D$163)^3)*(DCF!$D$40/DCF!$D$39+Assumptions!$D$166)*(1-(-DCF!$D$41/DCF!$D$40))+DCF!$D$43*(1+Assumptions!$D$163)^3-DCF!$D$44*(1+Assumptions!$D$163)^3-DCF!$D$45*(1+Assumptions!$D$163)^3)/(1+DCF!$B$33)^DCF!$D$47+((DCF!$E$39*(1+Assumptions!$D$163)^4)*(DCF!$E$40/DCF!$E$39+Assumptions!$D$166)*(1-(-DCF!$E$41/DCF!$E$40))+DCF!$E$43*(1+Assumptions!$D$163)^4-DCF!$E$44*(1+Assumptions!$D$163)^4-DCF!$E$45*(1+Assumptions!$D$163)^4)/(1+DCF!$B$33)^DCF!$E$47+((DCF!$F$39*(1+Assumptions!$D$163)^5)*(DCF!$F$40/DCF!$F$39+Assumptions!$D$166)*(1-(-DCF!$F$41/DCF!$F$40))+DCF!$F$43*(1+Assumptions!$D$163)^5-DCF!$F$44*(1+Assumptions!$D$163)^5-DCF!$F$45*(1+Assumptions!$D$163)^5)/(1+DCF!$B$33)^DCF!$F$47+((DCF!$F$39*(1+Assumptions!$D$163)^5)*(DCF!$F$40/DCF!$F$39+Assumptions!$D$166)*(1-(-DCF!$F$41/DCF!$F$40))+DCF!$F$43*(1+Assumptions!$D$163)^5-DCF!$F$44*(1+Assumptions!$D$163)^5-DCF!$F$45*(1+Assumptions!$D$163)^5)*(1+DCF!$F$53)/(DCF!$B$33-DCF!$F$53)/(1+DCF!$B$33)^DCF!$F$47)-DCF!$B$62+DCF!$B$63-DCF!$B$64)/DCF!$B$66/DCF!$B$68</f>
        <v>34.125137289248237</v>
      </c>
      <c r="C17" s="44">
        <f>((((DCF!$B$39*(1+Assumptions!$D$163)^1)*(DCF!$B$40/DCF!$B$39+Assumptions!$D$167)*(1-(-DCF!$B$41/DCF!$B$40))+DCF!$B$43*(1+Assumptions!$D$163)^1-DCF!$B$44*(1+Assumptions!$D$163)^1-DCF!$B$45*(1+Assumptions!$D$163)^1)/(1+DCF!$B$33)^DCF!$B$47+((DCF!$C$39*(1+Assumptions!$D$163)^2)*(DCF!$C$40/DCF!$C$39+Assumptions!$D$167)*(1-(-DCF!$C$41/DCF!$C$40))+DCF!$C$43*(1+Assumptions!$D$163)^2-DCF!$C$44*(1+Assumptions!$D$163)^2-DCF!$C$45*(1+Assumptions!$D$163)^2)/(1+DCF!$B$33)^DCF!$C$47+((DCF!$D$39*(1+Assumptions!$D$163)^3)*(DCF!$D$40/DCF!$D$39+Assumptions!$D$167)*(1-(-DCF!$D$41/DCF!$D$40))+DCF!$D$43*(1+Assumptions!$D$163)^3-DCF!$D$44*(1+Assumptions!$D$163)^3-DCF!$D$45*(1+Assumptions!$D$163)^3)/(1+DCF!$B$33)^DCF!$D$47+((DCF!$E$39*(1+Assumptions!$D$163)^4)*(DCF!$E$40/DCF!$E$39+Assumptions!$D$167)*(1-(-DCF!$E$41/DCF!$E$40))+DCF!$E$43*(1+Assumptions!$D$163)^4-DCF!$E$44*(1+Assumptions!$D$163)^4-DCF!$E$45*(1+Assumptions!$D$163)^4)/(1+DCF!$B$33)^DCF!$E$47+((DCF!$F$39*(1+Assumptions!$D$163)^5)*(DCF!$F$40/DCF!$F$39+Assumptions!$D$167)*(1-(-DCF!$F$41/DCF!$F$40))+DCF!$F$43*(1+Assumptions!$D$163)^5-DCF!$F$44*(1+Assumptions!$D$163)^5-DCF!$F$45*(1+Assumptions!$D$163)^5)/(1+DCF!$B$33)^DCF!$F$47+((DCF!$F$39*(1+Assumptions!$D$163)^5)*(DCF!$F$40/DCF!$F$39+Assumptions!$D$167)*(1-(-DCF!$F$41/DCF!$F$40))+DCF!$F$43*(1+Assumptions!$D$163)^5-DCF!$F$44*(1+Assumptions!$D$163)^5-DCF!$F$45*(1+Assumptions!$D$163)^5)*(1+DCF!$F$53)/(DCF!$B$33-DCF!$F$53)/(1+DCF!$B$33)^DCF!$F$47)-DCF!$B$62+DCF!$B$63-DCF!$B$64)/DCF!$B$66/DCF!$B$68</f>
        <v>40.411109115062757</v>
      </c>
      <c r="D17" s="45">
        <f>((((DCF!$B$39*(1+Assumptions!$D$163)^1)*(DCF!$B$40/DCF!$B$39+Assumptions!$D$168)*(1-(-DCF!$B$41/DCF!$B$40))+DCF!$B$43*(1+Assumptions!$D$163)^1-DCF!$B$44*(1+Assumptions!$D$163)^1-DCF!$B$45*(1+Assumptions!$D$163)^1)/(1+DCF!$B$33)^DCF!$B$47+((DCF!$C$39*(1+Assumptions!$D$163)^2)*(DCF!$C$40/DCF!$C$39+Assumptions!$D$168)*(1-(-DCF!$C$41/DCF!$C$40))+DCF!$C$43*(1+Assumptions!$D$163)^2-DCF!$C$44*(1+Assumptions!$D$163)^2-DCF!$C$45*(1+Assumptions!$D$163)^2)/(1+DCF!$B$33)^DCF!$C$47+((DCF!$D$39*(1+Assumptions!$D$163)^3)*(DCF!$D$40/DCF!$D$39+Assumptions!$D$168)*(1-(-DCF!$D$41/DCF!$D$40))+DCF!$D$43*(1+Assumptions!$D$163)^3-DCF!$D$44*(1+Assumptions!$D$163)^3-DCF!$D$45*(1+Assumptions!$D$163)^3)/(1+DCF!$B$33)^DCF!$D$47+((DCF!$E$39*(1+Assumptions!$D$163)^4)*(DCF!$E$40/DCF!$E$39+Assumptions!$D$168)*(1-(-DCF!$E$41/DCF!$E$40))+DCF!$E$43*(1+Assumptions!$D$163)^4-DCF!$E$44*(1+Assumptions!$D$163)^4-DCF!$E$45*(1+Assumptions!$D$163)^4)/(1+DCF!$B$33)^DCF!$E$47+((DCF!$F$39*(1+Assumptions!$D$163)^5)*(DCF!$F$40/DCF!$F$39+Assumptions!$D$168)*(1-(-DCF!$F$41/DCF!$F$40))+DCF!$F$43*(1+Assumptions!$D$163)^5-DCF!$F$44*(1+Assumptions!$D$163)^5-DCF!$F$45*(1+Assumptions!$D$163)^5)/(1+DCF!$B$33)^DCF!$F$47+((DCF!$F$39*(1+Assumptions!$D$163)^5)*(DCF!$F$40/DCF!$F$39+Assumptions!$D$168)*(1-(-DCF!$F$41/DCF!$F$40))+DCF!$F$43*(1+Assumptions!$D$163)^5-DCF!$F$44*(1+Assumptions!$D$163)^5-DCF!$F$45*(1+Assumptions!$D$163)^5)*(1+DCF!$F$53)/(DCF!$B$33-DCF!$F$53)/(1+DCF!$B$33)^DCF!$F$47)-DCF!$B$62+DCF!$B$63-DCF!$B$64)/DCF!$B$66/DCF!$B$68</f>
        <v>46.697080940877271</v>
      </c>
      <c r="E17" s="44">
        <f>((((DCF!$B$39*(1+Assumptions!$D$163)^1)*(DCF!$B$40/DCF!$B$39+Assumptions!$D$169)*(1-(-DCF!$B$41/DCF!$B$40))+DCF!$B$43*(1+Assumptions!$D$163)^1-DCF!$B$44*(1+Assumptions!$D$163)^1-DCF!$B$45*(1+Assumptions!$D$163)^1)/(1+DCF!$B$33)^DCF!$B$47+((DCF!$C$39*(1+Assumptions!$D$163)^2)*(DCF!$C$40/DCF!$C$39+Assumptions!$D$169)*(1-(-DCF!$C$41/DCF!$C$40))+DCF!$C$43*(1+Assumptions!$D$163)^2-DCF!$C$44*(1+Assumptions!$D$163)^2-DCF!$C$45*(1+Assumptions!$D$163)^2)/(1+DCF!$B$33)^DCF!$C$47+((DCF!$D$39*(1+Assumptions!$D$163)^3)*(DCF!$D$40/DCF!$D$39+Assumptions!$D$169)*(1-(-DCF!$D$41/DCF!$D$40))+DCF!$D$43*(1+Assumptions!$D$163)^3-DCF!$D$44*(1+Assumptions!$D$163)^3-DCF!$D$45*(1+Assumptions!$D$163)^3)/(1+DCF!$B$33)^DCF!$D$47+((DCF!$E$39*(1+Assumptions!$D$163)^4)*(DCF!$E$40/DCF!$E$39+Assumptions!$D$169)*(1-(-DCF!$E$41/DCF!$E$40))+DCF!$E$43*(1+Assumptions!$D$163)^4-DCF!$E$44*(1+Assumptions!$D$163)^4-DCF!$E$45*(1+Assumptions!$D$163)^4)/(1+DCF!$B$33)^DCF!$E$47+((DCF!$F$39*(1+Assumptions!$D$163)^5)*(DCF!$F$40/DCF!$F$39+Assumptions!$D$169)*(1-(-DCF!$F$41/DCF!$F$40))+DCF!$F$43*(1+Assumptions!$D$163)^5-DCF!$F$44*(1+Assumptions!$D$163)^5-DCF!$F$45*(1+Assumptions!$D$163)^5)/(1+DCF!$B$33)^DCF!$F$47+((DCF!$F$39*(1+Assumptions!$D$163)^5)*(DCF!$F$40/DCF!$F$39+Assumptions!$D$169)*(1-(-DCF!$F$41/DCF!$F$40))+DCF!$F$43*(1+Assumptions!$D$163)^5-DCF!$F$44*(1+Assumptions!$D$163)^5-DCF!$F$45*(1+Assumptions!$D$163)^5)*(1+DCF!$F$53)/(DCF!$B$33-DCF!$F$53)/(1+DCF!$B$33)^DCF!$F$47)-DCF!$B$62+DCF!$B$63-DCF!$B$64)/DCF!$B$66/DCF!$B$68</f>
        <v>52.983052766691785</v>
      </c>
      <c r="F17" s="44">
        <f>((((DCF!$B$39*(1+Assumptions!$D$163)^1)*(DCF!$B$40/DCF!$B$39+Assumptions!$D$170)*(1-(-DCF!$B$41/DCF!$B$40))+DCF!$B$43*(1+Assumptions!$D$163)^1-DCF!$B$44*(1+Assumptions!$D$163)^1-DCF!$B$45*(1+Assumptions!$D$163)^1)/(1+DCF!$B$33)^DCF!$B$47+((DCF!$C$39*(1+Assumptions!$D$163)^2)*(DCF!$C$40/DCF!$C$39+Assumptions!$D$170)*(1-(-DCF!$C$41/DCF!$C$40))+DCF!$C$43*(1+Assumptions!$D$163)^2-DCF!$C$44*(1+Assumptions!$D$163)^2-DCF!$C$45*(1+Assumptions!$D$163)^2)/(1+DCF!$B$33)^DCF!$C$47+((DCF!$D$39*(1+Assumptions!$D$163)^3)*(DCF!$D$40/DCF!$D$39+Assumptions!$D$170)*(1-(-DCF!$D$41/DCF!$D$40))+DCF!$D$43*(1+Assumptions!$D$163)^3-DCF!$D$44*(1+Assumptions!$D$163)^3-DCF!$D$45*(1+Assumptions!$D$163)^3)/(1+DCF!$B$33)^DCF!$D$47+((DCF!$E$39*(1+Assumptions!$D$163)^4)*(DCF!$E$40/DCF!$E$39+Assumptions!$D$170)*(1-(-DCF!$E$41/DCF!$E$40))+DCF!$E$43*(1+Assumptions!$D$163)^4-DCF!$E$44*(1+Assumptions!$D$163)^4-DCF!$E$45*(1+Assumptions!$D$163)^4)/(1+DCF!$B$33)^DCF!$E$47+((DCF!$F$39*(1+Assumptions!$D$163)^5)*(DCF!$F$40/DCF!$F$39+Assumptions!$D$170)*(1-(-DCF!$F$41/DCF!$F$40))+DCF!$F$43*(1+Assumptions!$D$163)^5-DCF!$F$44*(1+Assumptions!$D$163)^5-DCF!$F$45*(1+Assumptions!$D$163)^5)/(1+DCF!$B$33)^DCF!$F$47+((DCF!$F$39*(1+Assumptions!$D$163)^5)*(DCF!$F$40/DCF!$F$39+Assumptions!$D$170)*(1-(-DCF!$F$41/DCF!$F$40))+DCF!$F$43*(1+Assumptions!$D$163)^5-DCF!$F$44*(1+Assumptions!$D$163)^5-DCF!$F$45*(1+Assumptions!$D$163)^5)*(1+DCF!$F$53)/(DCF!$B$33-DCF!$F$53)/(1+DCF!$B$33)^DCF!$F$47)-DCF!$B$62+DCF!$B$63-DCF!$B$64)/DCF!$B$66/DCF!$B$68</f>
        <v>59.269024592506305</v>
      </c>
    </row>
    <row r="18" spans="1:6" x14ac:dyDescent="0.25">
      <c r="A18" s="5">
        <f>Assumptions!$D$164</f>
        <v>0.02</v>
      </c>
      <c r="B18" s="44">
        <f>((((DCF!$B$39*(1+Assumptions!$D$164)^1)*(DCF!$B$40/DCF!$B$39+Assumptions!$D$166)*(1-(-DCF!$B$41/DCF!$B$40))+DCF!$B$43*(1+Assumptions!$D$164)^1-DCF!$B$44*(1+Assumptions!$D$164)^1-DCF!$B$45*(1+Assumptions!$D$164)^1)/(1+DCF!$B$33)^DCF!$B$47+((DCF!$C$39*(1+Assumptions!$D$164)^2)*(DCF!$C$40/DCF!$C$39+Assumptions!$D$166)*(1-(-DCF!$C$41/DCF!$C$40))+DCF!$C$43*(1+Assumptions!$D$164)^2-DCF!$C$44*(1+Assumptions!$D$164)^2-DCF!$C$45*(1+Assumptions!$D$164)^2)/(1+DCF!$B$33)^DCF!$C$47+((DCF!$D$39*(1+Assumptions!$D$164)^3)*(DCF!$D$40/DCF!$D$39+Assumptions!$D$166)*(1-(-DCF!$D$41/DCF!$D$40))+DCF!$D$43*(1+Assumptions!$D$164)^3-DCF!$D$44*(1+Assumptions!$D$164)^3-DCF!$D$45*(1+Assumptions!$D$164)^3)/(1+DCF!$B$33)^DCF!$D$47+((DCF!$E$39*(1+Assumptions!$D$164)^4)*(DCF!$E$40/DCF!$E$39+Assumptions!$D$166)*(1-(-DCF!$E$41/DCF!$E$40))+DCF!$E$43*(1+Assumptions!$D$164)^4-DCF!$E$44*(1+Assumptions!$D$164)^4-DCF!$E$45*(1+Assumptions!$D$164)^4)/(1+DCF!$B$33)^DCF!$E$47+((DCF!$F$39*(1+Assumptions!$D$164)^5)*(DCF!$F$40/DCF!$F$39+Assumptions!$D$166)*(1-(-DCF!$F$41/DCF!$F$40))+DCF!$F$43*(1+Assumptions!$D$164)^5-DCF!$F$44*(1+Assumptions!$D$164)^5-DCF!$F$45*(1+Assumptions!$D$164)^5)/(1+DCF!$B$33)^DCF!$F$47+((DCF!$F$39*(1+Assumptions!$D$164)^5)*(DCF!$F$40/DCF!$F$39+Assumptions!$D$166)*(1-(-DCF!$F$41/DCF!$F$40))+DCF!$F$43*(1+Assumptions!$D$164)^5-DCF!$F$44*(1+Assumptions!$D$164)^5-DCF!$F$45*(1+Assumptions!$D$164)^5)*(1+DCF!$F$53)/(DCF!$B$33-DCF!$F$53)/(1+DCF!$B$33)^DCF!$F$47)-DCF!$B$62+DCF!$B$63-DCF!$B$64)/DCF!$B$66/DCF!$B$68</f>
        <v>37.12206366340601</v>
      </c>
      <c r="C18" s="44">
        <f>((((DCF!$B$39*(1+Assumptions!$D$164)^1)*(DCF!$B$40/DCF!$B$39+Assumptions!$D$167)*(1-(-DCF!$B$41/DCF!$B$40))+DCF!$B$43*(1+Assumptions!$D$164)^1-DCF!$B$44*(1+Assumptions!$D$164)^1-DCF!$B$45*(1+Assumptions!$D$164)^1)/(1+DCF!$B$33)^DCF!$B$47+((DCF!$C$39*(1+Assumptions!$D$164)^2)*(DCF!$C$40/DCF!$C$39+Assumptions!$D$167)*(1-(-DCF!$C$41/DCF!$C$40))+DCF!$C$43*(1+Assumptions!$D$164)^2-DCF!$C$44*(1+Assumptions!$D$164)^2-DCF!$C$45*(1+Assumptions!$D$164)^2)/(1+DCF!$B$33)^DCF!$C$47+((DCF!$D$39*(1+Assumptions!$D$164)^3)*(DCF!$D$40/DCF!$D$39+Assumptions!$D$167)*(1-(-DCF!$D$41/DCF!$D$40))+DCF!$D$43*(1+Assumptions!$D$164)^3-DCF!$D$44*(1+Assumptions!$D$164)^3-DCF!$D$45*(1+Assumptions!$D$164)^3)/(1+DCF!$B$33)^DCF!$D$47+((DCF!$E$39*(1+Assumptions!$D$164)^4)*(DCF!$E$40/DCF!$E$39+Assumptions!$D$167)*(1-(-DCF!$E$41/DCF!$E$40))+DCF!$E$43*(1+Assumptions!$D$164)^4-DCF!$E$44*(1+Assumptions!$D$164)^4-DCF!$E$45*(1+Assumptions!$D$164)^4)/(1+DCF!$B$33)^DCF!$E$47+((DCF!$F$39*(1+Assumptions!$D$164)^5)*(DCF!$F$40/DCF!$F$39+Assumptions!$D$167)*(1-(-DCF!$F$41/DCF!$F$40))+DCF!$F$43*(1+Assumptions!$D$164)^5-DCF!$F$44*(1+Assumptions!$D$164)^5-DCF!$F$45*(1+Assumptions!$D$164)^5)/(1+DCF!$B$33)^DCF!$F$47+((DCF!$F$39*(1+Assumptions!$D$164)^5)*(DCF!$F$40/DCF!$F$39+Assumptions!$D$167)*(1-(-DCF!$F$41/DCF!$F$40))+DCF!$F$43*(1+Assumptions!$D$164)^5-DCF!$F$44*(1+Assumptions!$D$164)^5-DCF!$F$45*(1+Assumptions!$D$164)^5)*(1+DCF!$F$53)/(DCF!$B$33-DCF!$F$53)/(1+DCF!$B$33)^DCF!$F$47)-DCF!$B$62+DCF!$B$63-DCF!$B$64)/DCF!$B$66/DCF!$B$68</f>
        <v>43.993190712100642</v>
      </c>
      <c r="D18" s="44">
        <f>((((DCF!$B$39*(1+Assumptions!$D$164)^1)*(DCF!$B$40/DCF!$B$39+Assumptions!$D$168)*(1-(-DCF!$B$41/DCF!$B$40))+DCF!$B$43*(1+Assumptions!$D$164)^1-DCF!$B$44*(1+Assumptions!$D$164)^1-DCF!$B$45*(1+Assumptions!$D$164)^1)/(1+DCF!$B$33)^DCF!$B$47+((DCF!$C$39*(1+Assumptions!$D$164)^2)*(DCF!$C$40/DCF!$C$39+Assumptions!$D$168)*(1-(-DCF!$C$41/DCF!$C$40))+DCF!$C$43*(1+Assumptions!$D$164)^2-DCF!$C$44*(1+Assumptions!$D$164)^2-DCF!$C$45*(1+Assumptions!$D$164)^2)/(1+DCF!$B$33)^DCF!$C$47+((DCF!$D$39*(1+Assumptions!$D$164)^3)*(DCF!$D$40/DCF!$D$39+Assumptions!$D$168)*(1-(-DCF!$D$41/DCF!$D$40))+DCF!$D$43*(1+Assumptions!$D$164)^3-DCF!$D$44*(1+Assumptions!$D$164)^3-DCF!$D$45*(1+Assumptions!$D$164)^3)/(1+DCF!$B$33)^DCF!$D$47+((DCF!$E$39*(1+Assumptions!$D$164)^4)*(DCF!$E$40/DCF!$E$39+Assumptions!$D$168)*(1-(-DCF!$E$41/DCF!$E$40))+DCF!$E$43*(1+Assumptions!$D$164)^4-DCF!$E$44*(1+Assumptions!$D$164)^4-DCF!$E$45*(1+Assumptions!$D$164)^4)/(1+DCF!$B$33)^DCF!$E$47+((DCF!$F$39*(1+Assumptions!$D$164)^5)*(DCF!$F$40/DCF!$F$39+Assumptions!$D$168)*(1-(-DCF!$F$41/DCF!$F$40))+DCF!$F$43*(1+Assumptions!$D$164)^5-DCF!$F$44*(1+Assumptions!$D$164)^5-DCF!$F$45*(1+Assumptions!$D$164)^5)/(1+DCF!$B$33)^DCF!$F$47+((DCF!$F$39*(1+Assumptions!$D$164)^5)*(DCF!$F$40/DCF!$F$39+Assumptions!$D$168)*(1-(-DCF!$F$41/DCF!$F$40))+DCF!$F$43*(1+Assumptions!$D$164)^5-DCF!$F$44*(1+Assumptions!$D$164)^5-DCF!$F$45*(1+Assumptions!$D$164)^5)*(1+DCF!$F$53)/(DCF!$B$33-DCF!$F$53)/(1+DCF!$B$33)^DCF!$F$47)-DCF!$B$62+DCF!$B$63-DCF!$B$64)/DCF!$B$66/DCF!$B$68</f>
        <v>50.864317760795267</v>
      </c>
      <c r="E18" s="44">
        <f>((((DCF!$B$39*(1+Assumptions!$D$164)^1)*(DCF!$B$40/DCF!$B$39+Assumptions!$D$169)*(1-(-DCF!$B$41/DCF!$B$40))+DCF!$B$43*(1+Assumptions!$D$164)^1-DCF!$B$44*(1+Assumptions!$D$164)^1-DCF!$B$45*(1+Assumptions!$D$164)^1)/(1+DCF!$B$33)^DCF!$B$47+((DCF!$C$39*(1+Assumptions!$D$164)^2)*(DCF!$C$40/DCF!$C$39+Assumptions!$D$169)*(1-(-DCF!$C$41/DCF!$C$40))+DCF!$C$43*(1+Assumptions!$D$164)^2-DCF!$C$44*(1+Assumptions!$D$164)^2-DCF!$C$45*(1+Assumptions!$D$164)^2)/(1+DCF!$B$33)^DCF!$C$47+((DCF!$D$39*(1+Assumptions!$D$164)^3)*(DCF!$D$40/DCF!$D$39+Assumptions!$D$169)*(1-(-DCF!$D$41/DCF!$D$40))+DCF!$D$43*(1+Assumptions!$D$164)^3-DCF!$D$44*(1+Assumptions!$D$164)^3-DCF!$D$45*(1+Assumptions!$D$164)^3)/(1+DCF!$B$33)^DCF!$D$47+((DCF!$E$39*(1+Assumptions!$D$164)^4)*(DCF!$E$40/DCF!$E$39+Assumptions!$D$169)*(1-(-DCF!$E$41/DCF!$E$40))+DCF!$E$43*(1+Assumptions!$D$164)^4-DCF!$E$44*(1+Assumptions!$D$164)^4-DCF!$E$45*(1+Assumptions!$D$164)^4)/(1+DCF!$B$33)^DCF!$E$47+((DCF!$F$39*(1+Assumptions!$D$164)^5)*(DCF!$F$40/DCF!$F$39+Assumptions!$D$169)*(1-(-DCF!$F$41/DCF!$F$40))+DCF!$F$43*(1+Assumptions!$D$164)^5-DCF!$F$44*(1+Assumptions!$D$164)^5-DCF!$F$45*(1+Assumptions!$D$164)^5)/(1+DCF!$B$33)^DCF!$F$47+((DCF!$F$39*(1+Assumptions!$D$164)^5)*(DCF!$F$40/DCF!$F$39+Assumptions!$D$169)*(1-(-DCF!$F$41/DCF!$F$40))+DCF!$F$43*(1+Assumptions!$D$164)^5-DCF!$F$44*(1+Assumptions!$D$164)^5-DCF!$F$45*(1+Assumptions!$D$164)^5)*(1+DCF!$F$53)/(DCF!$B$33-DCF!$F$53)/(1+DCF!$B$33)^DCF!$F$47)-DCF!$B$62+DCF!$B$63-DCF!$B$64)/DCF!$B$66/DCF!$B$68</f>
        <v>57.73544480948987</v>
      </c>
      <c r="F18" s="44">
        <f>((((DCF!$B$39*(1+Assumptions!$D$164)^1)*(DCF!$B$40/DCF!$B$39+Assumptions!$D$170)*(1-(-DCF!$B$41/DCF!$B$40))+DCF!$B$43*(1+Assumptions!$D$164)^1-DCF!$B$44*(1+Assumptions!$D$164)^1-DCF!$B$45*(1+Assumptions!$D$164)^1)/(1+DCF!$B$33)^DCF!$B$47+((DCF!$C$39*(1+Assumptions!$D$164)^2)*(DCF!$C$40/DCF!$C$39+Assumptions!$D$170)*(1-(-DCF!$C$41/DCF!$C$40))+DCF!$C$43*(1+Assumptions!$D$164)^2-DCF!$C$44*(1+Assumptions!$D$164)^2-DCF!$C$45*(1+Assumptions!$D$164)^2)/(1+DCF!$B$33)^DCF!$C$47+((DCF!$D$39*(1+Assumptions!$D$164)^3)*(DCF!$D$40/DCF!$D$39+Assumptions!$D$170)*(1-(-DCF!$D$41/DCF!$D$40))+DCF!$D$43*(1+Assumptions!$D$164)^3-DCF!$D$44*(1+Assumptions!$D$164)^3-DCF!$D$45*(1+Assumptions!$D$164)^3)/(1+DCF!$B$33)^DCF!$D$47+((DCF!$E$39*(1+Assumptions!$D$164)^4)*(DCF!$E$40/DCF!$E$39+Assumptions!$D$170)*(1-(-DCF!$E$41/DCF!$E$40))+DCF!$E$43*(1+Assumptions!$D$164)^4-DCF!$E$44*(1+Assumptions!$D$164)^4-DCF!$E$45*(1+Assumptions!$D$164)^4)/(1+DCF!$B$33)^DCF!$E$47+((DCF!$F$39*(1+Assumptions!$D$164)^5)*(DCF!$F$40/DCF!$F$39+Assumptions!$D$170)*(1-(-DCF!$F$41/DCF!$F$40))+DCF!$F$43*(1+Assumptions!$D$164)^5-DCF!$F$44*(1+Assumptions!$D$164)^5-DCF!$F$45*(1+Assumptions!$D$164)^5)/(1+DCF!$B$33)^DCF!$F$47+((DCF!$F$39*(1+Assumptions!$D$164)^5)*(DCF!$F$40/DCF!$F$39+Assumptions!$D$170)*(1-(-DCF!$F$41/DCF!$F$40))+DCF!$F$43*(1+Assumptions!$D$164)^5-DCF!$F$44*(1+Assumptions!$D$164)^5-DCF!$F$45*(1+Assumptions!$D$164)^5)*(1+DCF!$F$53)/(DCF!$B$33-DCF!$F$53)/(1+DCF!$B$33)^DCF!$F$47)-DCF!$B$62+DCF!$B$63-DCF!$B$64)/DCF!$B$66/DCF!$B$68</f>
        <v>64.606571858184509</v>
      </c>
    </row>
    <row r="19" spans="1:6" x14ac:dyDescent="0.25">
      <c r="A19" s="5">
        <f>Assumptions!$D$165</f>
        <v>0.04</v>
      </c>
      <c r="B19" s="44">
        <f>((((DCF!$B$39*(1+Assumptions!$D$165)^1)*(DCF!$B$40/DCF!$B$39+Assumptions!$D$166)*(1-(-DCF!$B$41/DCF!$B$40))+DCF!$B$43*(1+Assumptions!$D$165)^1-DCF!$B$44*(1+Assumptions!$D$165)^1-DCF!$B$45*(1+Assumptions!$D$165)^1)/(1+DCF!$B$33)^DCF!$B$47+((DCF!$C$39*(1+Assumptions!$D$165)^2)*(DCF!$C$40/DCF!$C$39+Assumptions!$D$166)*(1-(-DCF!$C$41/DCF!$C$40))+DCF!$C$43*(1+Assumptions!$D$165)^2-DCF!$C$44*(1+Assumptions!$D$165)^2-DCF!$C$45*(1+Assumptions!$D$165)^2)/(1+DCF!$B$33)^DCF!$C$47+((DCF!$D$39*(1+Assumptions!$D$165)^3)*(DCF!$D$40/DCF!$D$39+Assumptions!$D$166)*(1-(-DCF!$D$41/DCF!$D$40))+DCF!$D$43*(1+Assumptions!$D$165)^3-DCF!$D$44*(1+Assumptions!$D$165)^3-DCF!$D$45*(1+Assumptions!$D$165)^3)/(1+DCF!$B$33)^DCF!$D$47+((DCF!$E$39*(1+Assumptions!$D$165)^4)*(DCF!$E$40/DCF!$E$39+Assumptions!$D$166)*(1-(-DCF!$E$41/DCF!$E$40))+DCF!$E$43*(1+Assumptions!$D$165)^4-DCF!$E$44*(1+Assumptions!$D$165)^4-DCF!$E$45*(1+Assumptions!$D$165)^4)/(1+DCF!$B$33)^DCF!$E$47+((DCF!$F$39*(1+Assumptions!$D$165)^5)*(DCF!$F$40/DCF!$F$39+Assumptions!$D$166)*(1-(-DCF!$F$41/DCF!$F$40))+DCF!$F$43*(1+Assumptions!$D$165)^5-DCF!$F$44*(1+Assumptions!$D$165)^5-DCF!$F$45*(1+Assumptions!$D$165)^5)/(1+DCF!$B$33)^DCF!$F$47+((DCF!$F$39*(1+Assumptions!$D$165)^5)*(DCF!$F$40/DCF!$F$39+Assumptions!$D$166)*(1-(-DCF!$F$41/DCF!$F$40))+DCF!$F$43*(1+Assumptions!$D$165)^5-DCF!$F$44*(1+Assumptions!$D$165)^5-DCF!$F$45*(1+Assumptions!$D$165)^5)*(1+DCF!$F$53)/(DCF!$B$33-DCF!$F$53)/(1+DCF!$B$33)^DCF!$F$47)-DCF!$B$62+DCF!$B$63-DCF!$B$64)/DCF!$B$66/DCF!$B$68</f>
        <v>40.353319877981008</v>
      </c>
      <c r="C19" s="44">
        <f>((((DCF!$B$39*(1+Assumptions!$D$165)^1)*(DCF!$B$40/DCF!$B$39+Assumptions!$D$167)*(1-(-DCF!$B$41/DCF!$B$40))+DCF!$B$43*(1+Assumptions!$D$165)^1-DCF!$B$44*(1+Assumptions!$D$165)^1-DCF!$B$45*(1+Assumptions!$D$165)^1)/(1+DCF!$B$33)^DCF!$B$47+((DCF!$C$39*(1+Assumptions!$D$165)^2)*(DCF!$C$40/DCF!$C$39+Assumptions!$D$167)*(1-(-DCF!$C$41/DCF!$C$40))+DCF!$C$43*(1+Assumptions!$D$165)^2-DCF!$C$44*(1+Assumptions!$D$165)^2-DCF!$C$45*(1+Assumptions!$D$165)^2)/(1+DCF!$B$33)^DCF!$C$47+((DCF!$D$39*(1+Assumptions!$D$165)^3)*(DCF!$D$40/DCF!$D$39+Assumptions!$D$167)*(1-(-DCF!$D$41/DCF!$D$40))+DCF!$D$43*(1+Assumptions!$D$165)^3-DCF!$D$44*(1+Assumptions!$D$165)^3-DCF!$D$45*(1+Assumptions!$D$165)^3)/(1+DCF!$B$33)^DCF!$D$47+((DCF!$E$39*(1+Assumptions!$D$165)^4)*(DCF!$E$40/DCF!$E$39+Assumptions!$D$167)*(1-(-DCF!$E$41/DCF!$E$40))+DCF!$E$43*(1+Assumptions!$D$165)^4-DCF!$E$44*(1+Assumptions!$D$165)^4-DCF!$E$45*(1+Assumptions!$D$165)^4)/(1+DCF!$B$33)^DCF!$E$47+((DCF!$F$39*(1+Assumptions!$D$165)^5)*(DCF!$F$40/DCF!$F$39+Assumptions!$D$167)*(1-(-DCF!$F$41/DCF!$F$40))+DCF!$F$43*(1+Assumptions!$D$165)^5-DCF!$F$44*(1+Assumptions!$D$165)^5-DCF!$F$45*(1+Assumptions!$D$165)^5)/(1+DCF!$B$33)^DCF!$F$47+((DCF!$F$39*(1+Assumptions!$D$165)^5)*(DCF!$F$40/DCF!$F$39+Assumptions!$D$167)*(1-(-DCF!$F$41/DCF!$F$40))+DCF!$F$43*(1+Assumptions!$D$165)^5-DCF!$F$44*(1+Assumptions!$D$165)^5-DCF!$F$45*(1+Assumptions!$D$165)^5)*(1+DCF!$F$53)/(DCF!$B$33-DCF!$F$53)/(1+DCF!$B$33)^DCF!$F$47)-DCF!$B$62+DCF!$B$63-DCF!$B$64)/DCF!$B$66/DCF!$B$68</f>
        <v>47.854456750134915</v>
      </c>
      <c r="D19" s="44">
        <f>((((DCF!$B$39*(1+Assumptions!$D$165)^1)*(DCF!$B$40/DCF!$B$39+Assumptions!$D$168)*(1-(-DCF!$B$41/DCF!$B$40))+DCF!$B$43*(1+Assumptions!$D$165)^1-DCF!$B$44*(1+Assumptions!$D$165)^1-DCF!$B$45*(1+Assumptions!$D$165)^1)/(1+DCF!$B$33)^DCF!$B$47+((DCF!$C$39*(1+Assumptions!$D$165)^2)*(DCF!$C$40/DCF!$C$39+Assumptions!$D$168)*(1-(-DCF!$C$41/DCF!$C$40))+DCF!$C$43*(1+Assumptions!$D$165)^2-DCF!$C$44*(1+Assumptions!$D$165)^2-DCF!$C$45*(1+Assumptions!$D$165)^2)/(1+DCF!$B$33)^DCF!$C$47+((DCF!$D$39*(1+Assumptions!$D$165)^3)*(DCF!$D$40/DCF!$D$39+Assumptions!$D$168)*(1-(-DCF!$D$41/DCF!$D$40))+DCF!$D$43*(1+Assumptions!$D$165)^3-DCF!$D$44*(1+Assumptions!$D$165)^3-DCF!$D$45*(1+Assumptions!$D$165)^3)/(1+DCF!$B$33)^DCF!$D$47+((DCF!$E$39*(1+Assumptions!$D$165)^4)*(DCF!$E$40/DCF!$E$39+Assumptions!$D$168)*(1-(-DCF!$E$41/DCF!$E$40))+DCF!$E$43*(1+Assumptions!$D$165)^4-DCF!$E$44*(1+Assumptions!$D$165)^4-DCF!$E$45*(1+Assumptions!$D$165)^4)/(1+DCF!$B$33)^DCF!$E$47+((DCF!$F$39*(1+Assumptions!$D$165)^5)*(DCF!$F$40/DCF!$F$39+Assumptions!$D$168)*(1-(-DCF!$F$41/DCF!$F$40))+DCF!$F$43*(1+Assumptions!$D$165)^5-DCF!$F$44*(1+Assumptions!$D$165)^5-DCF!$F$45*(1+Assumptions!$D$165)^5)/(1+DCF!$B$33)^DCF!$F$47+((DCF!$F$39*(1+Assumptions!$D$165)^5)*(DCF!$F$40/DCF!$F$39+Assumptions!$D$168)*(1-(-DCF!$F$41/DCF!$F$40))+DCF!$F$43*(1+Assumptions!$D$165)^5-DCF!$F$44*(1+Assumptions!$D$165)^5-DCF!$F$45*(1+Assumptions!$D$165)^5)*(1+DCF!$F$53)/(DCF!$B$33-DCF!$F$53)/(1+DCF!$B$33)^DCF!$F$47)-DCF!$B$62+DCF!$B$63-DCF!$B$64)/DCF!$B$66/DCF!$B$68</f>
        <v>55.355593622288822</v>
      </c>
      <c r="E19" s="44">
        <f>((((DCF!$B$39*(1+Assumptions!$D$165)^1)*(DCF!$B$40/DCF!$B$39+Assumptions!$D$169)*(1-(-DCF!$B$41/DCF!$B$40))+DCF!$B$43*(1+Assumptions!$D$165)^1-DCF!$B$44*(1+Assumptions!$D$165)^1-DCF!$B$45*(1+Assumptions!$D$165)^1)/(1+DCF!$B$33)^DCF!$B$47+((DCF!$C$39*(1+Assumptions!$D$165)^2)*(DCF!$C$40/DCF!$C$39+Assumptions!$D$169)*(1-(-DCF!$C$41/DCF!$C$40))+DCF!$C$43*(1+Assumptions!$D$165)^2-DCF!$C$44*(1+Assumptions!$D$165)^2-DCF!$C$45*(1+Assumptions!$D$165)^2)/(1+DCF!$B$33)^DCF!$C$47+((DCF!$D$39*(1+Assumptions!$D$165)^3)*(DCF!$D$40/DCF!$D$39+Assumptions!$D$169)*(1-(-DCF!$D$41/DCF!$D$40))+DCF!$D$43*(1+Assumptions!$D$165)^3-DCF!$D$44*(1+Assumptions!$D$165)^3-DCF!$D$45*(1+Assumptions!$D$165)^3)/(1+DCF!$B$33)^DCF!$D$47+((DCF!$E$39*(1+Assumptions!$D$165)^4)*(DCF!$E$40/DCF!$E$39+Assumptions!$D$169)*(1-(-DCF!$E$41/DCF!$E$40))+DCF!$E$43*(1+Assumptions!$D$165)^4-DCF!$E$44*(1+Assumptions!$D$165)^4-DCF!$E$45*(1+Assumptions!$D$165)^4)/(1+DCF!$B$33)^DCF!$E$47+((DCF!$F$39*(1+Assumptions!$D$165)^5)*(DCF!$F$40/DCF!$F$39+Assumptions!$D$169)*(1-(-DCF!$F$41/DCF!$F$40))+DCF!$F$43*(1+Assumptions!$D$165)^5-DCF!$F$44*(1+Assumptions!$D$165)^5-DCF!$F$45*(1+Assumptions!$D$165)^5)/(1+DCF!$B$33)^DCF!$F$47+((DCF!$F$39*(1+Assumptions!$D$165)^5)*(DCF!$F$40/DCF!$F$39+Assumptions!$D$169)*(1-(-DCF!$F$41/DCF!$F$40))+DCF!$F$43*(1+Assumptions!$D$165)^5-DCF!$F$44*(1+Assumptions!$D$165)^5-DCF!$F$45*(1+Assumptions!$D$165)^5)*(1+DCF!$F$53)/(DCF!$B$33-DCF!$F$53)/(1+DCF!$B$33)^DCF!$F$47)-DCF!$B$62+DCF!$B$63-DCF!$B$64)/DCF!$B$66/DCF!$B$68</f>
        <v>62.856730494442743</v>
      </c>
      <c r="F19" s="44">
        <f>((((DCF!$B$39*(1+Assumptions!$D$165)^1)*(DCF!$B$40/DCF!$B$39+Assumptions!$D$170)*(1-(-DCF!$B$41/DCF!$B$40))+DCF!$B$43*(1+Assumptions!$D$165)^1-DCF!$B$44*(1+Assumptions!$D$165)^1-DCF!$B$45*(1+Assumptions!$D$165)^1)/(1+DCF!$B$33)^DCF!$B$47+((DCF!$C$39*(1+Assumptions!$D$165)^2)*(DCF!$C$40/DCF!$C$39+Assumptions!$D$170)*(1-(-DCF!$C$41/DCF!$C$40))+DCF!$C$43*(1+Assumptions!$D$165)^2-DCF!$C$44*(1+Assumptions!$D$165)^2-DCF!$C$45*(1+Assumptions!$D$165)^2)/(1+DCF!$B$33)^DCF!$C$47+((DCF!$D$39*(1+Assumptions!$D$165)^3)*(DCF!$D$40/DCF!$D$39+Assumptions!$D$170)*(1-(-DCF!$D$41/DCF!$D$40))+DCF!$D$43*(1+Assumptions!$D$165)^3-DCF!$D$44*(1+Assumptions!$D$165)^3-DCF!$D$45*(1+Assumptions!$D$165)^3)/(1+DCF!$B$33)^DCF!$D$47+((DCF!$E$39*(1+Assumptions!$D$165)^4)*(DCF!$E$40/DCF!$E$39+Assumptions!$D$170)*(1-(-DCF!$E$41/DCF!$E$40))+DCF!$E$43*(1+Assumptions!$D$165)^4-DCF!$E$44*(1+Assumptions!$D$165)^4-DCF!$E$45*(1+Assumptions!$D$165)^4)/(1+DCF!$B$33)^DCF!$E$47+((DCF!$F$39*(1+Assumptions!$D$165)^5)*(DCF!$F$40/DCF!$F$39+Assumptions!$D$170)*(1-(-DCF!$F$41/DCF!$F$40))+DCF!$F$43*(1+Assumptions!$D$165)^5-DCF!$F$44*(1+Assumptions!$D$165)^5-DCF!$F$45*(1+Assumptions!$D$165)^5)/(1+DCF!$B$33)^DCF!$F$47+((DCF!$F$39*(1+Assumptions!$D$165)^5)*(DCF!$F$40/DCF!$F$39+Assumptions!$D$170)*(1-(-DCF!$F$41/DCF!$F$40))+DCF!$F$43*(1+Assumptions!$D$165)^5-DCF!$F$44*(1+Assumptions!$D$165)^5-DCF!$F$45*(1+Assumptions!$D$165)^5)*(1+DCF!$F$53)/(DCF!$B$33-DCF!$F$53)/(1+DCF!$B$33)^DCF!$F$47)-DCF!$B$62+DCF!$B$63-DCF!$B$64)/DCF!$B$66/DCF!$B$68</f>
        <v>70.357867366596651</v>
      </c>
    </row>
    <row r="22" spans="1:6" ht="18.95" customHeight="1" x14ac:dyDescent="0.25">
      <c r="A22" s="48" t="s">
        <v>287</v>
      </c>
      <c r="B22" s="49"/>
      <c r="C22" s="49"/>
      <c r="D22" s="49"/>
      <c r="E22" s="49"/>
      <c r="F22" s="49"/>
    </row>
    <row r="23" spans="1:6" x14ac:dyDescent="0.25">
      <c r="A23" s="1" t="s">
        <v>288</v>
      </c>
      <c r="B23" s="5">
        <f>Assumptions!$D$176</f>
        <v>3.3000000000000002E-2</v>
      </c>
      <c r="C23" s="5">
        <f>Assumptions!$D$177</f>
        <v>3.7999999999999999E-2</v>
      </c>
      <c r="D23" s="5">
        <f>Assumptions!$D$178</f>
        <v>4.2999999999999997E-2</v>
      </c>
      <c r="E23" s="5">
        <f>Assumptions!$D$179</f>
        <v>4.8000000000000001E-2</v>
      </c>
      <c r="F23" s="5">
        <f>Assumptions!$D$180</f>
        <v>5.2999999999999999E-2</v>
      </c>
    </row>
    <row r="24" spans="1:6" x14ac:dyDescent="0.25">
      <c r="A24" s="37">
        <f>Assumptions!$D$171</f>
        <v>0.85</v>
      </c>
      <c r="B24" s="44">
        <f>((DCF!$B$46/(1+((Assumptions!$D$176+Assumptions!$D$171*DCF!$B$24+DCF!$B$25)*DCF!$B$31+DCF!$B$29*DCF!$B$32))^DCF!$B$47+DCF!$C$46/(1+((Assumptions!$D$176+Assumptions!$D$171*DCF!$B$24+DCF!$B$25)*DCF!$B$31+DCF!$B$29*DCF!$B$32))^DCF!$C$47+DCF!$D$46/(1+((Assumptions!$D$176+Assumptions!$D$171*DCF!$B$24+DCF!$B$25)*DCF!$B$31+DCF!$B$29*DCF!$B$32))^DCF!$D$47+DCF!$E$46/(1+((Assumptions!$D$176+Assumptions!$D$171*DCF!$B$24+DCF!$B$25)*DCF!$B$31+DCF!$B$29*DCF!$B$32))^DCF!$E$47+DCF!$F$46/(1+((Assumptions!$D$176+Assumptions!$D$171*DCF!$B$24+DCF!$B$25)*DCF!$B$31+DCF!$B$29*DCF!$B$32))^DCF!$F$47+DCF!$F$46*(1+DCF!$F$53)/(((Assumptions!$D$176+Assumptions!$D$171*DCF!$B$24+DCF!$B$25)*DCF!$B$31+DCF!$B$29*DCF!$B$32)-DCF!$F$53)/(1+((Assumptions!$D$176+Assumptions!$D$171*DCF!$B$24+DCF!$B$25)*DCF!$B$31+DCF!$B$29*DCF!$B$32))^DCF!$F$47)-DCF!$B$62+DCF!$B$63-DCF!$B$64)/DCF!$B$66/DCF!$B$68</f>
        <v>61.051339356355356</v>
      </c>
      <c r="C24" s="44">
        <f>((DCF!$B$46/(1+((Assumptions!$D$177+Assumptions!$D$171*DCF!$B$24+DCF!$B$25)*DCF!$B$31+DCF!$B$29*DCF!$B$32))^DCF!$B$47+DCF!$C$46/(1+((Assumptions!$D$177+Assumptions!$D$171*DCF!$B$24+DCF!$B$25)*DCF!$B$31+DCF!$B$29*DCF!$B$32))^DCF!$C$47+DCF!$D$46/(1+((Assumptions!$D$177+Assumptions!$D$171*DCF!$B$24+DCF!$B$25)*DCF!$B$31+DCF!$B$29*DCF!$B$32))^DCF!$D$47+DCF!$E$46/(1+((Assumptions!$D$177+Assumptions!$D$171*DCF!$B$24+DCF!$B$25)*DCF!$B$31+DCF!$B$29*DCF!$B$32))^DCF!$E$47+DCF!$F$46/(1+((Assumptions!$D$177+Assumptions!$D$171*DCF!$B$24+DCF!$B$25)*DCF!$B$31+DCF!$B$29*DCF!$B$32))^DCF!$F$47+DCF!$F$46*(1+DCF!$F$53)/(((Assumptions!$D$177+Assumptions!$D$171*DCF!$B$24+DCF!$B$25)*DCF!$B$31+DCF!$B$29*DCF!$B$32)-DCF!$F$53)/(1+((Assumptions!$D$177+Assumptions!$D$171*DCF!$B$24+DCF!$B$25)*DCF!$B$31+DCF!$B$29*DCF!$B$32))^DCF!$F$47)-DCF!$B$62+DCF!$B$63-DCF!$B$64)/DCF!$B$66/DCF!$B$68</f>
        <v>56.893703485749562</v>
      </c>
      <c r="D24" s="44">
        <f>((DCF!$B$46/(1+((Assumptions!$D$178+Assumptions!$D$171*DCF!$B$24+DCF!$B$25)*DCF!$B$31+DCF!$B$29*DCF!$B$32))^DCF!$B$47+DCF!$C$46/(1+((Assumptions!$D$178+Assumptions!$D$171*DCF!$B$24+DCF!$B$25)*DCF!$B$31+DCF!$B$29*DCF!$B$32))^DCF!$C$47+DCF!$D$46/(1+((Assumptions!$D$178+Assumptions!$D$171*DCF!$B$24+DCF!$B$25)*DCF!$B$31+DCF!$B$29*DCF!$B$32))^DCF!$D$47+DCF!$E$46/(1+((Assumptions!$D$178+Assumptions!$D$171*DCF!$B$24+DCF!$B$25)*DCF!$B$31+DCF!$B$29*DCF!$B$32))^DCF!$E$47+DCF!$F$46/(1+((Assumptions!$D$178+Assumptions!$D$171*DCF!$B$24+DCF!$B$25)*DCF!$B$31+DCF!$B$29*DCF!$B$32))^DCF!$F$47+DCF!$F$46*(1+DCF!$F$53)/(((Assumptions!$D$178+Assumptions!$D$171*DCF!$B$24+DCF!$B$25)*DCF!$B$31+DCF!$B$29*DCF!$B$32)-DCF!$F$53)/(1+((Assumptions!$D$178+Assumptions!$D$171*DCF!$B$24+DCF!$B$25)*DCF!$B$31+DCF!$B$29*DCF!$B$32))^DCF!$F$47)-DCF!$B$62+DCF!$B$63-DCF!$B$64)/DCF!$B$66/DCF!$B$68</f>
        <v>53.262409236688718</v>
      </c>
      <c r="E24" s="44">
        <f>((DCF!$B$46/(1+((Assumptions!$D$179+Assumptions!$D$171*DCF!$B$24+DCF!$B$25)*DCF!$B$31+DCF!$B$29*DCF!$B$32))^DCF!$B$47+DCF!$C$46/(1+((Assumptions!$D$179+Assumptions!$D$171*DCF!$B$24+DCF!$B$25)*DCF!$B$31+DCF!$B$29*DCF!$B$32))^DCF!$C$47+DCF!$D$46/(1+((Assumptions!$D$179+Assumptions!$D$171*DCF!$B$24+DCF!$B$25)*DCF!$B$31+DCF!$B$29*DCF!$B$32))^DCF!$D$47+DCF!$E$46/(1+((Assumptions!$D$179+Assumptions!$D$171*DCF!$B$24+DCF!$B$25)*DCF!$B$31+DCF!$B$29*DCF!$B$32))^DCF!$E$47+DCF!$F$46/(1+((Assumptions!$D$179+Assumptions!$D$171*DCF!$B$24+DCF!$B$25)*DCF!$B$31+DCF!$B$29*DCF!$B$32))^DCF!$F$47+DCF!$F$46*(1+DCF!$F$53)/(((Assumptions!$D$179+Assumptions!$D$171*DCF!$B$24+DCF!$B$25)*DCF!$B$31+DCF!$B$29*DCF!$B$32)-DCF!$F$53)/(1+((Assumptions!$D$179+Assumptions!$D$171*DCF!$B$24+DCF!$B$25)*DCF!$B$31+DCF!$B$29*DCF!$B$32))^DCF!$F$47)-DCF!$B$62+DCF!$B$63-DCF!$B$64)/DCF!$B$66/DCF!$B$68</f>
        <v>50.064194909232008</v>
      </c>
      <c r="F24" s="44">
        <f>((DCF!$B$46/(1+((Assumptions!$D$180+Assumptions!$D$171*DCF!$B$24+DCF!$B$25)*DCF!$B$31+DCF!$B$29*DCF!$B$32))^DCF!$B$47+DCF!$C$46/(1+((Assumptions!$D$180+Assumptions!$D$171*DCF!$B$24+DCF!$B$25)*DCF!$B$31+DCF!$B$29*DCF!$B$32))^DCF!$C$47+DCF!$D$46/(1+((Assumptions!$D$180+Assumptions!$D$171*DCF!$B$24+DCF!$B$25)*DCF!$B$31+DCF!$B$29*DCF!$B$32))^DCF!$D$47+DCF!$E$46/(1+((Assumptions!$D$180+Assumptions!$D$171*DCF!$B$24+DCF!$B$25)*DCF!$B$31+DCF!$B$29*DCF!$B$32))^DCF!$E$47+DCF!$F$46/(1+((Assumptions!$D$180+Assumptions!$D$171*DCF!$B$24+DCF!$B$25)*DCF!$B$31+DCF!$B$29*DCF!$B$32))^DCF!$F$47+DCF!$F$46*(1+DCF!$F$53)/(((Assumptions!$D$180+Assumptions!$D$171*DCF!$B$24+DCF!$B$25)*DCF!$B$31+DCF!$B$29*DCF!$B$32)-DCF!$F$53)/(1+((Assumptions!$D$180+Assumptions!$D$171*DCF!$B$24+DCF!$B$25)*DCF!$B$31+DCF!$B$29*DCF!$B$32))^DCF!$F$47)-DCF!$B$62+DCF!$B$63-DCF!$B$64)/DCF!$B$66/DCF!$B$68</f>
        <v>47.226583987426494</v>
      </c>
    </row>
    <row r="25" spans="1:6" x14ac:dyDescent="0.25">
      <c r="A25" s="37">
        <f>Assumptions!$D$172</f>
        <v>0.95</v>
      </c>
      <c r="B25" s="44">
        <f>((DCF!$B$46/(1+((Assumptions!$D$176+Assumptions!$D$172*DCF!$B$24+DCF!$B$25)*DCF!$B$31+DCF!$B$29*DCF!$B$32))^DCF!$B$47+DCF!$C$46/(1+((Assumptions!$D$176+Assumptions!$D$172*DCF!$B$24+DCF!$B$25)*DCF!$B$31+DCF!$B$29*DCF!$B$32))^DCF!$C$47+DCF!$D$46/(1+((Assumptions!$D$176+Assumptions!$D$172*DCF!$B$24+DCF!$B$25)*DCF!$B$31+DCF!$B$29*DCF!$B$32))^DCF!$D$47+DCF!$E$46/(1+((Assumptions!$D$176+Assumptions!$D$172*DCF!$B$24+DCF!$B$25)*DCF!$B$31+DCF!$B$29*DCF!$B$32))^DCF!$E$47+DCF!$F$46/(1+((Assumptions!$D$176+Assumptions!$D$172*DCF!$B$24+DCF!$B$25)*DCF!$B$31+DCF!$B$29*DCF!$B$32))^DCF!$F$47+DCF!$F$46*(1+DCF!$F$53)/(((Assumptions!$D$176+Assumptions!$D$172*DCF!$B$24+DCF!$B$25)*DCF!$B$31+DCF!$B$29*DCF!$B$32)-DCF!$F$53)/(1+((Assumptions!$D$176+Assumptions!$D$172*DCF!$B$24+DCF!$B$25)*DCF!$B$31+DCF!$B$29*DCF!$B$32))^DCF!$F$47)-DCF!$B$62+DCF!$B$63-DCF!$B$64)/DCF!$B$66/DCF!$B$68</f>
        <v>56.508621800379132</v>
      </c>
      <c r="C25" s="44">
        <f>((DCF!$B$46/(1+((Assumptions!$D$177+Assumptions!$D$172*DCF!$B$24+DCF!$B$25)*DCF!$B$31+DCF!$B$29*DCF!$B$32))^DCF!$B$47+DCF!$C$46/(1+((Assumptions!$D$177+Assumptions!$D$172*DCF!$B$24+DCF!$B$25)*DCF!$B$31+DCF!$B$29*DCF!$B$32))^DCF!$C$47+DCF!$D$46/(1+((Assumptions!$D$177+Assumptions!$D$172*DCF!$B$24+DCF!$B$25)*DCF!$B$31+DCF!$B$29*DCF!$B$32))^DCF!$D$47+DCF!$E$46/(1+((Assumptions!$D$177+Assumptions!$D$172*DCF!$B$24+DCF!$B$25)*DCF!$B$31+DCF!$B$29*DCF!$B$32))^DCF!$E$47+DCF!$F$46/(1+((Assumptions!$D$177+Assumptions!$D$172*DCF!$B$24+DCF!$B$25)*DCF!$B$31+DCF!$B$29*DCF!$B$32))^DCF!$F$47+DCF!$F$46*(1+DCF!$F$53)/(((Assumptions!$D$177+Assumptions!$D$172*DCF!$B$24+DCF!$B$25)*DCF!$B$31+DCF!$B$29*DCF!$B$32)-DCF!$F$53)/(1+((Assumptions!$D$177+Assumptions!$D$172*DCF!$B$24+DCF!$B$25)*DCF!$B$31+DCF!$B$29*DCF!$B$32))^DCF!$F$47)-DCF!$B$62+DCF!$B$63-DCF!$B$64)/DCF!$B$66/DCF!$B$68</f>
        <v>52.924436659026625</v>
      </c>
      <c r="D25" s="44">
        <f>((DCF!$B$46/(1+((Assumptions!$D$178+Assumptions!$D$172*DCF!$B$24+DCF!$B$25)*DCF!$B$31+DCF!$B$29*DCF!$B$32))^DCF!$B$47+DCF!$C$46/(1+((Assumptions!$D$178+Assumptions!$D$172*DCF!$B$24+DCF!$B$25)*DCF!$B$31+DCF!$B$29*DCF!$B$32))^DCF!$C$47+DCF!$D$46/(1+((Assumptions!$D$178+Assumptions!$D$172*DCF!$B$24+DCF!$B$25)*DCF!$B$31+DCF!$B$29*DCF!$B$32))^DCF!$D$47+DCF!$E$46/(1+((Assumptions!$D$178+Assumptions!$D$172*DCF!$B$24+DCF!$B$25)*DCF!$B$31+DCF!$B$29*DCF!$B$32))^DCF!$E$47+DCF!$F$46/(1+((Assumptions!$D$178+Assumptions!$D$172*DCF!$B$24+DCF!$B$25)*DCF!$B$31+DCF!$B$29*DCF!$B$32))^DCF!$F$47+DCF!$F$46*(1+DCF!$F$53)/(((Assumptions!$D$178+Assumptions!$D$172*DCF!$B$24+DCF!$B$25)*DCF!$B$31+DCF!$B$29*DCF!$B$32)-DCF!$F$53)/(1+((Assumptions!$D$178+Assumptions!$D$172*DCF!$B$24+DCF!$B$25)*DCF!$B$31+DCF!$B$29*DCF!$B$32))^DCF!$F$47)-DCF!$B$62+DCF!$B$63-DCF!$B$64)/DCF!$B$66/DCF!$B$68</f>
        <v>49.76525521179309</v>
      </c>
      <c r="E25" s="44">
        <f>((DCF!$B$46/(1+((Assumptions!$D$179+Assumptions!$D$172*DCF!$B$24+DCF!$B$25)*DCF!$B$31+DCF!$B$29*DCF!$B$32))^DCF!$B$47+DCF!$C$46/(1+((Assumptions!$D$179+Assumptions!$D$172*DCF!$B$24+DCF!$B$25)*DCF!$B$31+DCF!$B$29*DCF!$B$32))^DCF!$C$47+DCF!$D$46/(1+((Assumptions!$D$179+Assumptions!$D$172*DCF!$B$24+DCF!$B$25)*DCF!$B$31+DCF!$B$29*DCF!$B$32))^DCF!$D$47+DCF!$E$46/(1+((Assumptions!$D$179+Assumptions!$D$172*DCF!$B$24+DCF!$B$25)*DCF!$B$31+DCF!$B$29*DCF!$B$32))^DCF!$E$47+DCF!$F$46/(1+((Assumptions!$D$179+Assumptions!$D$172*DCF!$B$24+DCF!$B$25)*DCF!$B$31+DCF!$B$29*DCF!$B$32))^DCF!$F$47+DCF!$F$46*(1+DCF!$F$53)/(((Assumptions!$D$179+Assumptions!$D$172*DCF!$B$24+DCF!$B$25)*DCF!$B$31+DCF!$B$29*DCF!$B$32)-DCF!$F$53)/(1+((Assumptions!$D$179+Assumptions!$D$172*DCF!$B$24+DCF!$B$25)*DCF!$B$31+DCF!$B$29*DCF!$B$32))^DCF!$F$47)-DCF!$B$62+DCF!$B$63-DCF!$B$64)/DCF!$B$66/DCF!$B$68</f>
        <v>46.96034504115098</v>
      </c>
      <c r="F25" s="44">
        <f>((DCF!$B$46/(1+((Assumptions!$D$180+Assumptions!$D$172*DCF!$B$24+DCF!$B$25)*DCF!$B$31+DCF!$B$29*DCF!$B$32))^DCF!$B$47+DCF!$C$46/(1+((Assumptions!$D$180+Assumptions!$D$172*DCF!$B$24+DCF!$B$25)*DCF!$B$31+DCF!$B$29*DCF!$B$32))^DCF!$C$47+DCF!$D$46/(1+((Assumptions!$D$180+Assumptions!$D$172*DCF!$B$24+DCF!$B$25)*DCF!$B$31+DCF!$B$29*DCF!$B$32))^DCF!$D$47+DCF!$E$46/(1+((Assumptions!$D$180+Assumptions!$D$172*DCF!$B$24+DCF!$B$25)*DCF!$B$31+DCF!$B$29*DCF!$B$32))^DCF!$E$47+DCF!$F$46/(1+((Assumptions!$D$180+Assumptions!$D$172*DCF!$B$24+DCF!$B$25)*DCF!$B$31+DCF!$B$29*DCF!$B$32))^DCF!$F$47+DCF!$F$46*(1+DCF!$F$53)/(((Assumptions!$D$180+Assumptions!$D$172*DCF!$B$24+DCF!$B$25)*DCF!$B$31+DCF!$B$29*DCF!$B$32)-DCF!$F$53)/(1+((Assumptions!$D$180+Assumptions!$D$172*DCF!$B$24+DCF!$B$25)*DCF!$B$31+DCF!$B$29*DCF!$B$32))^DCF!$F$47)-DCF!$B$62+DCF!$B$63-DCF!$B$64)/DCF!$B$66/DCF!$B$68</f>
        <v>44.453828075447028</v>
      </c>
    </row>
    <row r="26" spans="1:6" x14ac:dyDescent="0.25">
      <c r="A26" s="37">
        <f>Assumptions!$D$173</f>
        <v>1.05</v>
      </c>
      <c r="B26" s="44">
        <f>((DCF!$B$46/(1+((Assumptions!$D$176+Assumptions!$D$173*DCF!$B$24+DCF!$B$25)*DCF!$B$31+DCF!$B$29*DCF!$B$32))^DCF!$B$47+DCF!$C$46/(1+((Assumptions!$D$176+Assumptions!$D$173*DCF!$B$24+DCF!$B$25)*DCF!$B$31+DCF!$B$29*DCF!$B$32))^DCF!$C$47+DCF!$D$46/(1+((Assumptions!$D$176+Assumptions!$D$173*DCF!$B$24+DCF!$B$25)*DCF!$B$31+DCF!$B$29*DCF!$B$32))^DCF!$D$47+DCF!$E$46/(1+((Assumptions!$D$176+Assumptions!$D$173*DCF!$B$24+DCF!$B$25)*DCF!$B$31+DCF!$B$29*DCF!$B$32))^DCF!$E$47+DCF!$F$46/(1+((Assumptions!$D$176+Assumptions!$D$173*DCF!$B$24+DCF!$B$25)*DCF!$B$31+DCF!$B$29*DCF!$B$32))^DCF!$F$47+DCF!$F$46*(1+DCF!$F$53)/(((Assumptions!$D$176+Assumptions!$D$173*DCF!$B$24+DCF!$B$25)*DCF!$B$31+DCF!$B$29*DCF!$B$32)-DCF!$F$53)/(1+((Assumptions!$D$176+Assumptions!$D$173*DCF!$B$24+DCF!$B$25)*DCF!$B$31+DCF!$B$29*DCF!$B$32))^DCF!$F$47)-DCF!$B$62+DCF!$B$63-DCF!$B$64)/DCF!$B$66/DCF!$B$68</f>
        <v>52.590697759612233</v>
      </c>
      <c r="C26" s="44">
        <f>((DCF!$B$46/(1+((Assumptions!$D$177+Assumptions!$D$173*DCF!$B$24+DCF!$B$25)*DCF!$B$31+DCF!$B$29*DCF!$B$32))^DCF!$B$47+DCF!$C$46/(1+((Assumptions!$D$177+Assumptions!$D$173*DCF!$B$24+DCF!$B$25)*DCF!$B$31+DCF!$B$29*DCF!$B$32))^DCF!$C$47+DCF!$D$46/(1+((Assumptions!$D$177+Assumptions!$D$173*DCF!$B$24+DCF!$B$25)*DCF!$B$31+DCF!$B$29*DCF!$B$32))^DCF!$D$47+DCF!$E$46/(1+((Assumptions!$D$177+Assumptions!$D$173*DCF!$B$24+DCF!$B$25)*DCF!$B$31+DCF!$B$29*DCF!$B$32))^DCF!$E$47+DCF!$F$46/(1+((Assumptions!$D$177+Assumptions!$D$173*DCF!$B$24+DCF!$B$25)*DCF!$B$31+DCF!$B$29*DCF!$B$32))^DCF!$F$47+DCF!$F$46*(1+DCF!$F$53)/(((Assumptions!$D$177+Assumptions!$D$173*DCF!$B$24+DCF!$B$25)*DCF!$B$31+DCF!$B$29*DCF!$B$32)-DCF!$F$53)/(1+((Assumptions!$D$177+Assumptions!$D$173*DCF!$B$24+DCF!$B$25)*DCF!$B$31+DCF!$B$29*DCF!$B$32))^DCF!$F$47)-DCF!$B$62+DCF!$B$63-DCF!$B$64)/DCF!$B$66/DCF!$B$68</f>
        <v>49.469846140496351</v>
      </c>
      <c r="D26" s="45">
        <f>((DCF!$B$46/(1+((Assumptions!$D$178+Assumptions!$D$173*DCF!$B$24+DCF!$B$25)*DCF!$B$31+DCF!$B$29*DCF!$B$32))^DCF!$B$47+DCF!$C$46/(1+((Assumptions!$D$178+Assumptions!$D$173*DCF!$B$24+DCF!$B$25)*DCF!$B$31+DCF!$B$29*DCF!$B$32))^DCF!$C$47+DCF!$D$46/(1+((Assumptions!$D$178+Assumptions!$D$173*DCF!$B$24+DCF!$B$25)*DCF!$B$31+DCF!$B$29*DCF!$B$32))^DCF!$D$47+DCF!$E$46/(1+((Assumptions!$D$178+Assumptions!$D$173*DCF!$B$24+DCF!$B$25)*DCF!$B$31+DCF!$B$29*DCF!$B$32))^DCF!$E$47+DCF!$F$46/(1+((Assumptions!$D$178+Assumptions!$D$173*DCF!$B$24+DCF!$B$25)*DCF!$B$31+DCF!$B$29*DCF!$B$32))^DCF!$F$47+DCF!$F$46*(1+DCF!$F$53)/(((Assumptions!$D$178+Assumptions!$D$173*DCF!$B$24+DCF!$B$25)*DCF!$B$31+DCF!$B$29*DCF!$B$32)-DCF!$F$53)/(1+((Assumptions!$D$178+Assumptions!$D$173*DCF!$B$24+DCF!$B$25)*DCF!$B$31+DCF!$B$29*DCF!$B$32))^DCF!$F$47)-DCF!$B$62+DCF!$B$63-DCF!$B$64)/DCF!$B$66/DCF!$B$68</f>
        <v>46.697080940877271</v>
      </c>
      <c r="E26" s="44">
        <f>((DCF!$B$46/(1+((Assumptions!$D$179+Assumptions!$D$173*DCF!$B$24+DCF!$B$25)*DCF!$B$31+DCF!$B$29*DCF!$B$32))^DCF!$B$47+DCF!$C$46/(1+((Assumptions!$D$179+Assumptions!$D$173*DCF!$B$24+DCF!$B$25)*DCF!$B$31+DCF!$B$29*DCF!$B$32))^DCF!$C$47+DCF!$D$46/(1+((Assumptions!$D$179+Assumptions!$D$173*DCF!$B$24+DCF!$B$25)*DCF!$B$31+DCF!$B$29*DCF!$B$32))^DCF!$D$47+DCF!$E$46/(1+((Assumptions!$D$179+Assumptions!$D$173*DCF!$B$24+DCF!$B$25)*DCF!$B$31+DCF!$B$29*DCF!$B$32))^DCF!$E$47+DCF!$F$46/(1+((Assumptions!$D$179+Assumptions!$D$173*DCF!$B$24+DCF!$B$25)*DCF!$B$31+DCF!$B$29*DCF!$B$32))^DCF!$F$47+DCF!$F$46*(1+DCF!$F$53)/(((Assumptions!$D$179+Assumptions!$D$173*DCF!$B$24+DCF!$B$25)*DCF!$B$31+DCF!$B$29*DCF!$B$32)-DCF!$F$53)/(1+((Assumptions!$D$179+Assumptions!$D$173*DCF!$B$24+DCF!$B$25)*DCF!$B$31+DCF!$B$29*DCF!$B$32))^DCF!$F$47)-DCF!$B$62+DCF!$B$63-DCF!$B$64)/DCF!$B$66/DCF!$B$68</f>
        <v>44.217785021783385</v>
      </c>
      <c r="F26" s="44">
        <f>((DCF!$B$46/(1+((Assumptions!$D$180+Assumptions!$D$173*DCF!$B$24+DCF!$B$25)*DCF!$B$31+DCF!$B$29*DCF!$B$32))^DCF!$B$47+DCF!$C$46/(1+((Assumptions!$D$180+Assumptions!$D$173*DCF!$B$24+DCF!$B$25)*DCF!$B$31+DCF!$B$29*DCF!$B$32))^DCF!$C$47+DCF!$D$46/(1+((Assumptions!$D$180+Assumptions!$D$173*DCF!$B$24+DCF!$B$25)*DCF!$B$31+DCF!$B$29*DCF!$B$32))^DCF!$D$47+DCF!$E$46/(1+((Assumptions!$D$180+Assumptions!$D$173*DCF!$B$24+DCF!$B$25)*DCF!$B$31+DCF!$B$29*DCF!$B$32))^DCF!$E$47+DCF!$F$46/(1+((Assumptions!$D$180+Assumptions!$D$173*DCF!$B$24+DCF!$B$25)*DCF!$B$31+DCF!$B$29*DCF!$B$32))^DCF!$F$47+DCF!$F$46*(1+DCF!$F$53)/(((Assumptions!$D$180+Assumptions!$D$173*DCF!$B$24+DCF!$B$25)*DCF!$B$31+DCF!$B$29*DCF!$B$32)-DCF!$F$53)/(1+((Assumptions!$D$180+Assumptions!$D$173*DCF!$B$24+DCF!$B$25)*DCF!$B$31+DCF!$B$29*DCF!$B$32))^DCF!$F$47)-DCF!$B$62+DCF!$B$63-DCF!$B$64)/DCF!$B$66/DCF!$B$68</f>
        <v>41.98818554227099</v>
      </c>
    </row>
    <row r="27" spans="1:6" x14ac:dyDescent="0.25">
      <c r="A27" s="37">
        <f>Assumptions!$D$174</f>
        <v>1.1499999999999999</v>
      </c>
      <c r="B27" s="44">
        <f>((DCF!$B$46/(1+((Assumptions!$D$176+Assumptions!$D$174*DCF!$B$24+DCF!$B$25)*DCF!$B$31+DCF!$B$29*DCF!$B$32))^DCF!$B$47+DCF!$C$46/(1+((Assumptions!$D$176+Assumptions!$D$174*DCF!$B$24+DCF!$B$25)*DCF!$B$31+DCF!$B$29*DCF!$B$32))^DCF!$C$47+DCF!$D$46/(1+((Assumptions!$D$176+Assumptions!$D$174*DCF!$B$24+DCF!$B$25)*DCF!$B$31+DCF!$B$29*DCF!$B$32))^DCF!$D$47+DCF!$E$46/(1+((Assumptions!$D$176+Assumptions!$D$174*DCF!$B$24+DCF!$B$25)*DCF!$B$31+DCF!$B$29*DCF!$B$32))^DCF!$E$47+DCF!$F$46/(1+((Assumptions!$D$176+Assumptions!$D$174*DCF!$B$24+DCF!$B$25)*DCF!$B$31+DCF!$B$29*DCF!$B$32))^DCF!$F$47+DCF!$F$46*(1+DCF!$F$53)/(((Assumptions!$D$176+Assumptions!$D$174*DCF!$B$24+DCF!$B$25)*DCF!$B$31+DCF!$B$29*DCF!$B$32)-DCF!$F$53)/(1+((Assumptions!$D$176+Assumptions!$D$174*DCF!$B$24+DCF!$B$25)*DCF!$B$31+DCF!$B$29*DCF!$B$32))^DCF!$F$47)-DCF!$B$62+DCF!$B$63-DCF!$B$64)/DCF!$B$66/DCF!$B$68</f>
        <v>49.177906195547735</v>
      </c>
      <c r="C27" s="44">
        <f>((DCF!$B$46/(1+((Assumptions!$D$177+Assumptions!$D$174*DCF!$B$24+DCF!$B$25)*DCF!$B$31+DCF!$B$29*DCF!$B$32))^DCF!$B$47+DCF!$C$46/(1+((Assumptions!$D$177+Assumptions!$D$174*DCF!$B$24+DCF!$B$25)*DCF!$B$31+DCF!$B$29*DCF!$B$32))^DCF!$C$47+DCF!$D$46/(1+((Assumptions!$D$177+Assumptions!$D$174*DCF!$B$24+DCF!$B$25)*DCF!$B$31+DCF!$B$29*DCF!$B$32))^DCF!$D$47+DCF!$E$46/(1+((Assumptions!$D$177+Assumptions!$D$174*DCF!$B$24+DCF!$B$25)*DCF!$B$31+DCF!$B$29*DCF!$B$32))^DCF!$E$47+DCF!$F$46/(1+((Assumptions!$D$177+Assumptions!$D$174*DCF!$B$24+DCF!$B$25)*DCF!$B$31+DCF!$B$29*DCF!$B$32))^DCF!$F$47+DCF!$F$46*(1+DCF!$F$53)/(((Assumptions!$D$177+Assumptions!$D$174*DCF!$B$24+DCF!$B$25)*DCF!$B$31+DCF!$B$29*DCF!$B$32)-DCF!$F$53)/(1+((Assumptions!$D$177+Assumptions!$D$174*DCF!$B$24+DCF!$B$25)*DCF!$B$31+DCF!$B$29*DCF!$B$32))^DCF!$F$47)-DCF!$B$62+DCF!$B$63-DCF!$B$64)/DCF!$B$66/DCF!$B$68</f>
        <v>46.436742695230841</v>
      </c>
      <c r="D27" s="44">
        <f>((DCF!$B$46/(1+((Assumptions!$D$178+Assumptions!$D$174*DCF!$B$24+DCF!$B$25)*DCF!$B$31+DCF!$B$29*DCF!$B$32))^DCF!$B$47+DCF!$C$46/(1+((Assumptions!$D$178+Assumptions!$D$174*DCF!$B$24+DCF!$B$25)*DCF!$B$31+DCF!$B$29*DCF!$B$32))^DCF!$C$47+DCF!$D$46/(1+((Assumptions!$D$178+Assumptions!$D$174*DCF!$B$24+DCF!$B$25)*DCF!$B$31+DCF!$B$29*DCF!$B$32))^DCF!$D$47+DCF!$E$46/(1+((Assumptions!$D$178+Assumptions!$D$174*DCF!$B$24+DCF!$B$25)*DCF!$B$31+DCF!$B$29*DCF!$B$32))^DCF!$E$47+DCF!$F$46/(1+((Assumptions!$D$178+Assumptions!$D$174*DCF!$B$24+DCF!$B$25)*DCF!$B$31+DCF!$B$29*DCF!$B$32))^DCF!$F$47+DCF!$F$46*(1+DCF!$F$53)/(((Assumptions!$D$178+Assumptions!$D$174*DCF!$B$24+DCF!$B$25)*DCF!$B$31+DCF!$B$29*DCF!$B$32)-DCF!$F$53)/(1+((Assumptions!$D$178+Assumptions!$D$174*DCF!$B$24+DCF!$B$25)*DCF!$B$31+DCF!$B$29*DCF!$B$32))^DCF!$F$47)-DCF!$B$62+DCF!$B$63-DCF!$B$64)/DCF!$B$66/DCF!$B$68</f>
        <v>43.984232175378089</v>
      </c>
      <c r="E27" s="44">
        <f>((DCF!$B$46/(1+((Assumptions!$D$179+Assumptions!$D$174*DCF!$B$24+DCF!$B$25)*DCF!$B$31+DCF!$B$29*DCF!$B$32))^DCF!$B$47+DCF!$C$46/(1+((Assumptions!$D$179+Assumptions!$D$174*DCF!$B$24+DCF!$B$25)*DCF!$B$31+DCF!$B$29*DCF!$B$32))^DCF!$C$47+DCF!$D$46/(1+((Assumptions!$D$179+Assumptions!$D$174*DCF!$B$24+DCF!$B$25)*DCF!$B$31+DCF!$B$29*DCF!$B$32))^DCF!$D$47+DCF!$E$46/(1+((Assumptions!$D$179+Assumptions!$D$174*DCF!$B$24+DCF!$B$25)*DCF!$B$31+DCF!$B$29*DCF!$B$32))^DCF!$E$47+DCF!$F$46/(1+((Assumptions!$D$179+Assumptions!$D$174*DCF!$B$24+DCF!$B$25)*DCF!$B$31+DCF!$B$29*DCF!$B$32))^DCF!$F$47+DCF!$F$46*(1+DCF!$F$53)/(((Assumptions!$D$179+Assumptions!$D$174*DCF!$B$24+DCF!$B$25)*DCF!$B$31+DCF!$B$29*DCF!$B$32)-DCF!$F$53)/(1+((Assumptions!$D$179+Assumptions!$D$174*DCF!$B$24+DCF!$B$25)*DCF!$B$31+DCF!$B$29*DCF!$B$32))^DCF!$F$47)-DCF!$B$62+DCF!$B$63-DCF!$B$64)/DCF!$B$66/DCF!$B$68</f>
        <v>41.777531696916128</v>
      </c>
      <c r="F27" s="44">
        <f>((DCF!$B$46/(1+((Assumptions!$D$180+Assumptions!$D$174*DCF!$B$24+DCF!$B$25)*DCF!$B$31+DCF!$B$29*DCF!$B$32))^DCF!$B$47+DCF!$C$46/(1+((Assumptions!$D$180+Assumptions!$D$174*DCF!$B$24+DCF!$B$25)*DCF!$B$31+DCF!$B$29*DCF!$B$32))^DCF!$C$47+DCF!$D$46/(1+((Assumptions!$D$180+Assumptions!$D$174*DCF!$B$24+DCF!$B$25)*DCF!$B$31+DCF!$B$29*DCF!$B$32))^DCF!$D$47+DCF!$E$46/(1+((Assumptions!$D$180+Assumptions!$D$174*DCF!$B$24+DCF!$B$25)*DCF!$B$31+DCF!$B$29*DCF!$B$32))^DCF!$E$47+DCF!$F$46/(1+((Assumptions!$D$180+Assumptions!$D$174*DCF!$B$24+DCF!$B$25)*DCF!$B$31+DCF!$B$29*DCF!$B$32))^DCF!$F$47+DCF!$F$46*(1+DCF!$F$53)/(((Assumptions!$D$180+Assumptions!$D$174*DCF!$B$24+DCF!$B$25)*DCF!$B$31+DCF!$B$29*DCF!$B$32)-DCF!$F$53)/(1+((Assumptions!$D$180+Assumptions!$D$174*DCF!$B$24+DCF!$B$25)*DCF!$B$31+DCF!$B$29*DCF!$B$32))^DCF!$F$47)-DCF!$B$62+DCF!$B$63-DCF!$B$64)/DCF!$B$66/DCF!$B$68</f>
        <v>39.7818648759715</v>
      </c>
    </row>
    <row r="28" spans="1:6" x14ac:dyDescent="0.25">
      <c r="A28" s="37">
        <f>Assumptions!$D$175</f>
        <v>1.25</v>
      </c>
      <c r="B28" s="44">
        <f>((DCF!$B$46/(1+((Assumptions!$D$176+Assumptions!$D$175*DCF!$B$24+DCF!$B$25)*DCF!$B$31+DCF!$B$29*DCF!$B$32))^DCF!$B$47+DCF!$C$46/(1+((Assumptions!$D$176+Assumptions!$D$175*DCF!$B$24+DCF!$B$25)*DCF!$B$31+DCF!$B$29*DCF!$B$32))^DCF!$C$47+DCF!$D$46/(1+((Assumptions!$D$176+Assumptions!$D$175*DCF!$B$24+DCF!$B$25)*DCF!$B$31+DCF!$B$29*DCF!$B$32))^DCF!$D$47+DCF!$E$46/(1+((Assumptions!$D$176+Assumptions!$D$175*DCF!$B$24+DCF!$B$25)*DCF!$B$31+DCF!$B$29*DCF!$B$32))^DCF!$E$47+DCF!$F$46/(1+((Assumptions!$D$176+Assumptions!$D$175*DCF!$B$24+DCF!$B$25)*DCF!$B$31+DCF!$B$29*DCF!$B$32))^DCF!$F$47+DCF!$F$46*(1+DCF!$F$53)/(((Assumptions!$D$176+Assumptions!$D$175*DCF!$B$24+DCF!$B$25)*DCF!$B$31+DCF!$B$29*DCF!$B$32)-DCF!$F$53)/(1+((Assumptions!$D$176+Assumptions!$D$175*DCF!$B$24+DCF!$B$25)*DCF!$B$31+DCF!$B$29*DCF!$B$32))^DCF!$F$47)-DCF!$B$62+DCF!$B$63-DCF!$B$64)/DCF!$B$66/DCF!$B$68</f>
        <v>46.179282381009067</v>
      </c>
      <c r="C28" s="44">
        <f>((DCF!$B$46/(1+((Assumptions!$D$177+Assumptions!$D$175*DCF!$B$24+DCF!$B$25)*DCF!$B$31+DCF!$B$29*DCF!$B$32))^DCF!$B$47+DCF!$C$46/(1+((Assumptions!$D$177+Assumptions!$D$175*DCF!$B$24+DCF!$B$25)*DCF!$B$31+DCF!$B$29*DCF!$B$32))^DCF!$C$47+DCF!$D$46/(1+((Assumptions!$D$177+Assumptions!$D$175*DCF!$B$24+DCF!$B$25)*DCF!$B$31+DCF!$B$29*DCF!$B$32))^DCF!$D$47+DCF!$E$46/(1+((Assumptions!$D$177+Assumptions!$D$175*DCF!$B$24+DCF!$B$25)*DCF!$B$31+DCF!$B$29*DCF!$B$32))^DCF!$E$47+DCF!$F$46/(1+((Assumptions!$D$177+Assumptions!$D$175*DCF!$B$24+DCF!$B$25)*DCF!$B$31+DCF!$B$29*DCF!$B$32))^DCF!$F$47+DCF!$F$46*(1+DCF!$F$53)/(((Assumptions!$D$177+Assumptions!$D$175*DCF!$B$24+DCF!$B$25)*DCF!$B$31+DCF!$B$29*DCF!$B$32)-DCF!$F$53)/(1+((Assumptions!$D$177+Assumptions!$D$175*DCF!$B$24+DCF!$B$25)*DCF!$B$31+DCF!$B$29*DCF!$B$32))^DCF!$F$47)-DCF!$B$62+DCF!$B$63-DCF!$B$64)/DCF!$B$66/DCF!$B$68</f>
        <v>43.753130846139463</v>
      </c>
      <c r="D28" s="44">
        <f>((DCF!$B$46/(1+((Assumptions!$D$178+Assumptions!$D$175*DCF!$B$24+DCF!$B$25)*DCF!$B$31+DCF!$B$29*DCF!$B$32))^DCF!$B$47+DCF!$C$46/(1+((Assumptions!$D$178+Assumptions!$D$175*DCF!$B$24+DCF!$B$25)*DCF!$B$31+DCF!$B$29*DCF!$B$32))^DCF!$C$47+DCF!$D$46/(1+((Assumptions!$D$178+Assumptions!$D$175*DCF!$B$24+DCF!$B$25)*DCF!$B$31+DCF!$B$29*DCF!$B$32))^DCF!$D$47+DCF!$E$46/(1+((Assumptions!$D$178+Assumptions!$D$175*DCF!$B$24+DCF!$B$25)*DCF!$B$31+DCF!$B$29*DCF!$B$32))^DCF!$E$47+DCF!$F$46/(1+((Assumptions!$D$178+Assumptions!$D$175*DCF!$B$24+DCF!$B$25)*DCF!$B$31+DCF!$B$29*DCF!$B$32))^DCF!$F$47+DCF!$F$46*(1+DCF!$F$53)/(((Assumptions!$D$178+Assumptions!$D$175*DCF!$B$24+DCF!$B$25)*DCF!$B$31+DCF!$B$29*DCF!$B$32)-DCF!$F$53)/(1+((Assumptions!$D$178+Assumptions!$D$175*DCF!$B$24+DCF!$B$25)*DCF!$B$31+DCF!$B$29*DCF!$B$32))^DCF!$F$47)-DCF!$B$62+DCF!$B$63-DCF!$B$64)/DCF!$B$66/DCF!$B$68</f>
        <v>41.568983078967705</v>
      </c>
      <c r="E28" s="44">
        <f>((DCF!$B$46/(1+((Assumptions!$D$179+Assumptions!$D$175*DCF!$B$24+DCF!$B$25)*DCF!$B$31+DCF!$B$29*DCF!$B$32))^DCF!$B$47+DCF!$C$46/(1+((Assumptions!$D$179+Assumptions!$D$175*DCF!$B$24+DCF!$B$25)*DCF!$B$31+DCF!$B$29*DCF!$B$32))^DCF!$C$47+DCF!$D$46/(1+((Assumptions!$D$179+Assumptions!$D$175*DCF!$B$24+DCF!$B$25)*DCF!$B$31+DCF!$B$29*DCF!$B$32))^DCF!$D$47+DCF!$E$46/(1+((Assumptions!$D$179+Assumptions!$D$175*DCF!$B$24+DCF!$B$25)*DCF!$B$31+DCF!$B$29*DCF!$B$32))^DCF!$E$47+DCF!$F$46/(1+((Assumptions!$D$179+Assumptions!$D$175*DCF!$B$24+DCF!$B$25)*DCF!$B$31+DCF!$B$29*DCF!$B$32))^DCF!$F$47+DCF!$F$46*(1+DCF!$F$53)/(((Assumptions!$D$179+Assumptions!$D$175*DCF!$B$24+DCF!$B$25)*DCF!$B$31+DCF!$B$29*DCF!$B$32)-DCF!$F$53)/(1+((Assumptions!$D$179+Assumptions!$D$175*DCF!$B$24+DCF!$B$25)*DCF!$B$31+DCF!$B$29*DCF!$B$32))^DCF!$F$47)-DCF!$B$62+DCF!$B$63-DCF!$B$64)/DCF!$B$66/DCF!$B$68</f>
        <v>39.592760617881986</v>
      </c>
      <c r="F28" s="44">
        <f>((DCF!$B$46/(1+((Assumptions!$D$180+Assumptions!$D$175*DCF!$B$24+DCF!$B$25)*DCF!$B$31+DCF!$B$29*DCF!$B$32))^DCF!$B$47+DCF!$C$46/(1+((Assumptions!$D$180+Assumptions!$D$175*DCF!$B$24+DCF!$B$25)*DCF!$B$31+DCF!$B$29*DCF!$B$32))^DCF!$C$47+DCF!$D$46/(1+((Assumptions!$D$180+Assumptions!$D$175*DCF!$B$24+DCF!$B$25)*DCF!$B$31+DCF!$B$29*DCF!$B$32))^DCF!$D$47+DCF!$E$46/(1+((Assumptions!$D$180+Assumptions!$D$175*DCF!$B$24+DCF!$B$25)*DCF!$B$31+DCF!$B$29*DCF!$B$32))^DCF!$E$47+DCF!$F$46/(1+((Assumptions!$D$180+Assumptions!$D$175*DCF!$B$24+DCF!$B$25)*DCF!$B$31+DCF!$B$29*DCF!$B$32))^DCF!$F$47+DCF!$F$46*(1+DCF!$F$53)/(((Assumptions!$D$180+Assumptions!$D$175*DCF!$B$24+DCF!$B$25)*DCF!$B$31+DCF!$B$29*DCF!$B$32)-DCF!$F$53)/(1+((Assumptions!$D$180+Assumptions!$D$175*DCF!$B$24+DCF!$B$25)*DCF!$B$31+DCF!$B$29*DCF!$B$32))^DCF!$F$47)-DCF!$B$62+DCF!$B$63-DCF!$B$64)/DCF!$B$66/DCF!$B$68</f>
        <v>37.796485893418215</v>
      </c>
    </row>
  </sheetData>
  <mergeCells count="4">
    <mergeCell ref="A13:F13"/>
    <mergeCell ref="A22:F22"/>
    <mergeCell ref="A1:F1"/>
    <mergeCell ref="A4:F4"/>
  </mergeCells>
  <conditionalFormatting sqref="B6:F1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B15:F19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B24:F28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Assumptions</vt:lpstr>
      <vt:lpstr>IS</vt:lpstr>
      <vt:lpstr>BS</vt:lpstr>
      <vt:lpstr>CF</vt:lpstr>
      <vt:lpstr>DCF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Lance Wang</cp:lastModifiedBy>
  <dcterms:created xsi:type="dcterms:W3CDTF">2026-09-06T07:23:51Z</dcterms:created>
  <dcterms:modified xsi:type="dcterms:W3CDTF">2026-09-06T07:24:10Z</dcterms:modified>
</cp:coreProperties>
</file>